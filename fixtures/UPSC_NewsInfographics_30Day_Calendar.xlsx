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0-Day Content Calendar" sheetId="1" state="visible" r:id="rId1"/>
    <sheet xmlns:r="http://schemas.openxmlformats.org/officeDocument/2006/relationships" name="Daily Schedule Matrix" sheetId="2" state="visible" r:id="rId2"/>
    <sheet xmlns:r="http://schemas.openxmlformats.org/officeDocument/2006/relationships" name="Executive Summary &amp; Analytics" sheetId="3" state="visible" r:id="rId3"/>
  </sheets>
  <definedNames>
    <definedName name="_xlnm._FilterDatabase" localSheetId="0" hidden="1">'30-Day Content Calendar'!$A$3:$M$153</definedName>
  </definedNames>
  <calcPr calcId="124519" fullCalcOnLoad="1"/>
</workbook>
</file>

<file path=xl/styles.xml><?xml version="1.0" encoding="utf-8"?>
<styleSheet xmlns="http://schemas.openxmlformats.org/spreadsheetml/2006/main">
  <numFmts count="1">
    <numFmt numFmtId="164" formatCode="0.0%"/>
  </numFmts>
  <fonts count="21">
    <font>
      <name val="Calibri"/>
      <family val="2"/>
      <color theme="1"/>
      <sz val="11"/>
      <scheme val="minor"/>
    </font>
    <font>
      <name val="Segoe UI"/>
      <b val="1"/>
      <color rgb="00FFFFFF"/>
      <sz val="14"/>
    </font>
    <font>
      <name val="Segoe UI"/>
      <i val="1"/>
      <color rgb="00E2E8F0"/>
      <sz val="10"/>
    </font>
    <font>
      <name val="Segoe UI"/>
      <b val="1"/>
      <color rgb="00FFFFFF"/>
      <sz val="10"/>
    </font>
    <font>
      <name val="Segoe UI"/>
      <sz val="10"/>
    </font>
    <font>
      <name val="Segoe UI"/>
      <b val="1"/>
      <color rgb="0064748B"/>
      <sz val="9"/>
    </font>
    <font>
      <name val="Segoe UI"/>
      <b val="1"/>
      <color rgb="001E293B"/>
      <sz val="9"/>
    </font>
    <font>
      <name val="Segoe UI"/>
      <b val="1"/>
      <color rgb="00065F46"/>
      <sz val="10"/>
    </font>
    <font>
      <name val="Segoe UI"/>
      <b val="1"/>
      <sz val="10"/>
    </font>
    <font>
      <name val="Segoe UI"/>
      <b val="1"/>
      <color rgb="00047857"/>
      <sz val="10"/>
    </font>
    <font>
      <name val="Segoe UI"/>
      <b val="1"/>
      <color rgb="001E40AF"/>
      <sz val="10"/>
    </font>
    <font>
      <name val="Segoe UI"/>
      <b val="1"/>
      <color rgb="009A3412"/>
      <sz val="10"/>
    </font>
    <font>
      <name val="Segoe UI"/>
      <b val="1"/>
      <color rgb="006B21A8"/>
      <sz val="10"/>
    </font>
    <font>
      <name val="Segoe UI"/>
      <b val="1"/>
      <color rgb="00FFFFFF"/>
      <sz val="13"/>
    </font>
    <font>
      <name val="Segoe UI"/>
      <b val="1"/>
      <color rgb="001E293B"/>
      <sz val="11"/>
    </font>
    <font>
      <name val="Segoe UI"/>
      <b val="1"/>
      <color rgb="0064748B"/>
      <sz val="10"/>
    </font>
    <font>
      <name val="Segoe UI"/>
      <sz val="9"/>
    </font>
    <font>
      <name val="Segoe UI"/>
      <b val="1"/>
      <color rgb="001E3A8A"/>
      <sz val="10"/>
    </font>
    <font>
      <name val="Segoe UI"/>
      <i val="1"/>
      <sz val="9"/>
    </font>
    <font>
      <name val="Segoe UI"/>
      <b val="1"/>
      <sz val="9"/>
    </font>
    <font>
      <name val="Consolas"/>
      <color rgb="000F172A"/>
      <sz val="9"/>
    </font>
  </fonts>
  <fills count="7">
    <fill>
      <patternFill/>
    </fill>
    <fill>
      <patternFill patternType="gray125"/>
    </fill>
    <fill>
      <patternFill patternType="solid">
        <fgColor rgb="00881337"/>
        <bgColor rgb="00881337"/>
      </patternFill>
    </fill>
    <fill>
      <patternFill patternType="solid">
        <fgColor rgb="001E293B"/>
        <bgColor rgb="001E293B"/>
      </patternFill>
    </fill>
    <fill>
      <patternFill patternType="solid">
        <fgColor rgb="00FFFFFF"/>
        <bgColor rgb="00FFFFFF"/>
      </patternFill>
    </fill>
    <fill>
      <patternFill patternType="solid">
        <fgColor rgb="00F8FAFC"/>
        <bgColor rgb="00F8FAFC"/>
      </patternFill>
    </fill>
    <fill>
      <patternFill patternType="solid">
        <fgColor rgb="00E2E8F0"/>
        <bgColor rgb="00E2E8F0"/>
      </patternFill>
    </fill>
  </fills>
  <borders count="3">
    <border>
      <left/>
      <right/>
      <top/>
      <bottom/>
      <diagonal/>
    </border>
    <border>
      <left style="thin">
        <color rgb="0064748B"/>
      </left>
      <right style="thin">
        <color rgb="0064748B"/>
      </right>
      <top style="medium">
        <color rgb="000F172A"/>
      </top>
      <bottom style="medium">
        <color rgb="000F172A"/>
      </bottom>
    </border>
    <border>
      <left style="thin">
        <color rgb="00CBD5E1"/>
      </left>
      <right style="thin">
        <color rgb="00CBD5E1"/>
      </right>
      <top style="thin">
        <color rgb="00CBD5E1"/>
      </top>
      <bottom style="thin">
        <color rgb="00CBD5E1"/>
      </bottom>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3" borderId="1" applyAlignment="1" pivotButton="0" quotePrefix="0" xfId="0">
      <alignment horizontal="center" vertical="center" wrapText="1"/>
    </xf>
    <xf numFmtId="0" fontId="5" fillId="4" borderId="2" applyAlignment="1" pivotButton="0" quotePrefix="0" xfId="0">
      <alignment horizontal="center" vertical="center"/>
    </xf>
    <xf numFmtId="0" fontId="6" fillId="4" borderId="2" applyAlignment="1" pivotButton="0" quotePrefix="0" xfId="0">
      <alignment horizontal="center" vertical="center"/>
    </xf>
    <xf numFmtId="0" fontId="4" fillId="4" borderId="2" applyAlignment="1" pivotButton="0" quotePrefix="0" xfId="0">
      <alignment horizontal="center" vertical="center"/>
    </xf>
    <xf numFmtId="0" fontId="7" fillId="4" borderId="2" applyAlignment="1" pivotButton="0" quotePrefix="0" xfId="0">
      <alignment horizontal="center" vertical="center"/>
    </xf>
    <xf numFmtId="0" fontId="8" fillId="4" borderId="2" applyAlignment="1" pivotButton="0" quotePrefix="0" xfId="0">
      <alignment horizontal="left" vertical="center" wrapText="1"/>
    </xf>
    <xf numFmtId="0" fontId="4" fillId="4" borderId="2" applyAlignment="1" pivotButton="0" quotePrefix="0" xfId="0">
      <alignment horizontal="left" vertical="center" wrapText="1"/>
    </xf>
    <xf numFmtId="0" fontId="9" fillId="4" borderId="2" applyAlignment="1" pivotButton="0" quotePrefix="0" xfId="0">
      <alignment horizontal="center" vertical="center"/>
    </xf>
    <xf numFmtId="0" fontId="10" fillId="4" borderId="2" applyAlignment="1" pivotButton="0" quotePrefix="0" xfId="0">
      <alignment horizontal="center" vertical="center"/>
    </xf>
    <xf numFmtId="0" fontId="5" fillId="5" borderId="2" applyAlignment="1" pivotButton="0" quotePrefix="0" xfId="0">
      <alignment horizontal="center" vertical="center"/>
    </xf>
    <xf numFmtId="0" fontId="6" fillId="5" borderId="2" applyAlignment="1" pivotButton="0" quotePrefix="0" xfId="0">
      <alignment horizontal="center" vertical="center"/>
    </xf>
    <xf numFmtId="0" fontId="4" fillId="5" borderId="2" applyAlignment="1" pivotButton="0" quotePrefix="0" xfId="0">
      <alignment horizontal="center" vertical="center"/>
    </xf>
    <xf numFmtId="0" fontId="7" fillId="5" borderId="2" applyAlignment="1" pivotButton="0" quotePrefix="0" xfId="0">
      <alignment horizontal="center" vertical="center"/>
    </xf>
    <xf numFmtId="0" fontId="8" fillId="5" borderId="2" applyAlignment="1" pivotButton="0" quotePrefix="0" xfId="0">
      <alignment horizontal="left" vertical="center" wrapText="1"/>
    </xf>
    <xf numFmtId="0" fontId="4" fillId="5" borderId="2" applyAlignment="1" pivotButton="0" quotePrefix="0" xfId="0">
      <alignment horizontal="left" vertical="center" wrapText="1"/>
    </xf>
    <xf numFmtId="0" fontId="9" fillId="5" borderId="2" applyAlignment="1" pivotButton="0" quotePrefix="0" xfId="0">
      <alignment horizontal="center" vertical="center"/>
    </xf>
    <xf numFmtId="0" fontId="11" fillId="5" borderId="2" applyAlignment="1" pivotButton="0" quotePrefix="0" xfId="0">
      <alignment horizontal="center" vertical="center"/>
    </xf>
    <xf numFmtId="0" fontId="10" fillId="5" borderId="2" applyAlignment="1" pivotButton="0" quotePrefix="0" xfId="0">
      <alignment horizontal="center" vertical="center"/>
    </xf>
    <xf numFmtId="0" fontId="11" fillId="4" borderId="2" applyAlignment="1" pivotButton="0" quotePrefix="0" xfId="0">
      <alignment horizontal="center" vertical="center"/>
    </xf>
    <xf numFmtId="0" fontId="12" fillId="4" borderId="2" applyAlignment="1" pivotButton="0" quotePrefix="0" xfId="0">
      <alignment horizontal="center" vertical="center"/>
    </xf>
    <xf numFmtId="0" fontId="12" fillId="5" borderId="2" applyAlignment="1" pivotButton="0" quotePrefix="0" xfId="0">
      <alignment horizontal="center" vertical="center"/>
    </xf>
    <xf numFmtId="0" fontId="13" fillId="3" borderId="0" applyAlignment="1" pivotButton="0" quotePrefix="0" xfId="0">
      <alignment horizontal="center" vertical="center"/>
    </xf>
    <xf numFmtId="0" fontId="3" fillId="2" borderId="1" applyAlignment="1" pivotButton="0" quotePrefix="0" xfId="0">
      <alignment horizontal="center" vertical="center" wrapText="1"/>
    </xf>
    <xf numFmtId="0" fontId="14" fillId="0" borderId="2" applyAlignment="1" pivotButton="0" quotePrefix="0" xfId="0">
      <alignment horizontal="center" vertical="center"/>
    </xf>
    <xf numFmtId="0" fontId="15" fillId="0" borderId="2" applyAlignment="1" pivotButton="0" quotePrefix="0" xfId="0">
      <alignment horizontal="center" vertical="center"/>
    </xf>
    <xf numFmtId="0" fontId="16" fillId="0" borderId="2" applyAlignment="1" pivotButton="0" quotePrefix="0" xfId="0">
      <alignment horizontal="left" vertical="center" wrapText="1"/>
    </xf>
    <xf numFmtId="0" fontId="16" fillId="5" borderId="2" applyAlignment="1" pivotButton="0" quotePrefix="0" xfId="0">
      <alignment horizontal="left" vertical="center" wrapText="1"/>
    </xf>
    <xf numFmtId="0" fontId="3" fillId="2" borderId="0" applyAlignment="1" pivotButton="0" quotePrefix="0" xfId="0">
      <alignment horizontal="center" vertical="center"/>
    </xf>
    <xf numFmtId="0" fontId="8" fillId="0" borderId="2" pivotButton="0" quotePrefix="0" xfId="0"/>
    <xf numFmtId="0" fontId="17" fillId="0" borderId="2" applyAlignment="1" pivotButton="0" quotePrefix="0" xfId="0">
      <alignment horizontal="center" vertical="center"/>
    </xf>
    <xf numFmtId="0" fontId="18" fillId="0" borderId="2" applyAlignment="1" pivotButton="0" quotePrefix="0" xfId="0">
      <alignment horizontal="center" vertical="center"/>
    </xf>
    <xf numFmtId="0" fontId="4" fillId="0" borderId="2" pivotButton="0" quotePrefix="0" xfId="0"/>
    <xf numFmtId="164" fontId="4" fillId="0" borderId="2" applyAlignment="1" pivotButton="0" quotePrefix="0" xfId="0">
      <alignment horizontal="center" vertical="center"/>
    </xf>
    <xf numFmtId="164" fontId="8" fillId="0" borderId="2" applyAlignment="1" pivotButton="0" quotePrefix="0" xfId="0">
      <alignment horizontal="center" vertical="center"/>
    </xf>
    <xf numFmtId="0" fontId="3" fillId="3" borderId="0" applyAlignment="1" pivotButton="0" quotePrefix="0" xfId="0">
      <alignment horizontal="center" vertical="center"/>
    </xf>
    <xf numFmtId="0" fontId="8" fillId="6" borderId="2" pivotButton="0" quotePrefix="0" xfId="0"/>
    <xf numFmtId="0" fontId="0" fillId="6" borderId="2" pivotButton="0" quotePrefix="0" xfId="0"/>
    <xf numFmtId="0" fontId="19" fillId="0" borderId="2" pivotButton="0" quotePrefix="0" xfId="0"/>
    <xf numFmtId="0" fontId="20" fillId="0" borderId="2" pivotButton="0" quotePrefix="0" xfId="0"/>
    <xf numFmtId="0" fontId="16" fillId="0" borderId="2" pivotButton="0" quotePrefix="0" xfId="0"/>
  </cellXfs>
  <cellStyles count="1">
    <cellStyle name="Normal" xfId="0" builtinId="0" hidden="0"/>
  </cellStyles>
  <dxfs count="4">
    <dxf>
      <font>
        <name val="Segoe UI"/>
        <b val="1"/>
        <color rgb="00065F46"/>
      </font>
      <fill>
        <patternFill patternType="solid">
          <bgColor rgb="00D1FAE5"/>
        </patternFill>
      </fill>
    </dxf>
    <dxf>
      <font>
        <name val="Segoe UI"/>
        <b val="1"/>
        <color rgb="001E40AF"/>
      </font>
      <fill>
        <patternFill patternType="solid">
          <bgColor rgb="00DBEAFE"/>
        </patternFill>
      </fill>
    </dxf>
    <dxf>
      <font>
        <name val="Segoe UI"/>
        <b val="1"/>
        <color rgb="0092400E"/>
      </font>
      <fill>
        <patternFill patternType="solid">
          <bgColor rgb="00FEF3C7"/>
        </patternFill>
      </fill>
    </dxf>
    <dxf>
      <font>
        <name val="Segoe UI"/>
        <b val="1"/>
        <color rgb="00475569"/>
      </font>
      <fill>
        <patternFill patternType="solid">
          <bgColor rgb="00F1F5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53"/>
  <sheetViews>
    <sheetView showGridLines="1" workbookViewId="0">
      <pane ySplit="3" topLeftCell="A4" activePane="bottomLeft" state="frozen"/>
      <selection pane="bottomLeft" activeCell="A1" sqref="A1"/>
    </sheetView>
  </sheetViews>
  <sheetFormatPr baseColWidth="8" defaultRowHeight="15" outlineLevelCol="0"/>
  <cols>
    <col width="8" customWidth="1" min="1" max="1"/>
    <col width="10" customWidth="1" min="2" max="2"/>
    <col width="12" customWidth="1" min="3" max="3"/>
    <col width="13" customWidth="1" min="4" max="4"/>
    <col width="15" customWidth="1" min="5" max="5"/>
    <col width="11" customWidth="1" min="6" max="6"/>
    <col width="22" customWidth="1" min="7" max="7"/>
    <col width="45" customWidth="1" min="8" max="8"/>
    <col width="65" customWidth="1" min="9" max="9"/>
    <col width="32" customWidth="1" min="10" max="10"/>
    <col width="34" customWidth="1" min="11" max="11"/>
    <col width="14" customWidth="1" min="12" max="12"/>
    <col width="25" customWidth="1" min="13" max="13"/>
  </cols>
  <sheetData>
    <row r="1" ht="36" customHeight="1">
      <c r="A1" s="1" t="inlineStr">
        <is>
          <t>UPSC CURRENT AFFAIRS INFOGRAPHIC — 30-DAY MASTER EDITORIAL CALENDAR (150 POSTS)</t>
        </is>
      </c>
    </row>
    <row r="2" ht="24" customHeight="1">
      <c r="A2" s="2" t="inlineStr">
        <is>
          <t>Campaign Cadence: 5 Daily High-Yield Drops (08:00, 11:00, 14:00, 17:00, 20:00 IST) | UPSC GS1-GS4 Syllabus Aligned</t>
        </is>
      </c>
    </row>
    <row r="3" ht="30" customHeight="1">
      <c r="A3" s="3" t="inlineStr">
        <is>
          <t>Item #</t>
        </is>
      </c>
      <c r="B3" s="3" t="inlineStr">
        <is>
          <t>Day</t>
        </is>
      </c>
      <c r="C3" s="3" t="inlineStr">
        <is>
          <t>Post Slot</t>
        </is>
      </c>
      <c r="D3" s="3" t="inlineStr">
        <is>
          <t>Publish Date</t>
        </is>
      </c>
      <c r="E3" s="3" t="inlineStr">
        <is>
          <t>Slot Time (IST)</t>
        </is>
      </c>
      <c r="F3" s="3" t="inlineStr">
        <is>
          <t>GS Paper</t>
        </is>
      </c>
      <c r="G3" s="3" t="inlineStr">
        <is>
          <t>Category</t>
        </is>
      </c>
      <c r="H3" s="3" t="inlineStr">
        <is>
          <t>Infographic Headline / Topic</t>
        </is>
      </c>
      <c r="I3" s="3" t="inlineStr">
        <is>
          <t>Core Narrative &amp; Prelims/Mains Context</t>
        </is>
      </c>
      <c r="J3" s="3" t="inlineStr">
        <is>
          <t>Primary Source &amp; Reference</t>
        </is>
      </c>
      <c r="K3" s="3" t="inlineStr">
        <is>
          <t>Content ID</t>
        </is>
      </c>
      <c r="L3" s="3" t="inlineStr">
        <is>
          <t>Status</t>
        </is>
      </c>
      <c r="M3" s="3" t="inlineStr">
        <is>
          <t>Post Link / Asset URL</t>
        </is>
      </c>
    </row>
    <row r="4" ht="52" customHeight="1">
      <c r="A4" s="4" t="n">
        <v>1</v>
      </c>
      <c r="B4" s="5" t="inlineStr">
        <is>
          <t>Day 01</t>
        </is>
      </c>
      <c r="C4" s="6" t="inlineStr">
        <is>
          <t>Post 1 of 5</t>
        </is>
      </c>
      <c r="D4" s="6" t="inlineStr">
        <is>
          <t>2026-10-06</t>
        </is>
      </c>
      <c r="E4" s="6" t="inlineStr">
        <is>
          <t>08:00 AM</t>
        </is>
      </c>
      <c r="F4" s="7" t="inlineStr">
        <is>
          <t>GS3</t>
        </is>
      </c>
      <c r="G4" s="6" t="inlineStr">
        <is>
          <t>History &amp; Economy</t>
        </is>
      </c>
      <c r="H4" s="8" t="inlineStr">
        <is>
          <t>How food shortages reshaped India's agricultural policy</t>
        </is>
      </c>
      <c r="I4" s="9" t="inlineStr">
        <is>
          <t>In the mid-1960s, domestic foodgrain production was insufficient to meet demand. India depended heavily on imported grain. Prime Minister Lal Bahadur Shastri spearheaded self-reliance and irrigation expansion.</t>
        </is>
      </c>
      <c r="J4" s="9" t="inlineStr">
        <is>
          <t>Historical Archives / UPSC GS3</t>
        </is>
      </c>
      <c r="K4" s="6" t="inlineStr">
        <is>
          <t>day01-post1-food-security-1965</t>
        </is>
      </c>
      <c r="L4" s="10" t="inlineStr">
        <is>
          <t>Planned</t>
        </is>
      </c>
      <c r="M4" s="6" t="inlineStr"/>
    </row>
    <row r="5" ht="52" customHeight="1">
      <c r="A5" s="4" t="n">
        <v>2</v>
      </c>
      <c r="B5" s="5" t="inlineStr">
        <is>
          <t>Day 01</t>
        </is>
      </c>
      <c r="C5" s="6" t="inlineStr">
        <is>
          <t>Post 2 of 5</t>
        </is>
      </c>
      <c r="D5" s="6" t="inlineStr">
        <is>
          <t>2026-10-06</t>
        </is>
      </c>
      <c r="E5" s="6" t="inlineStr">
        <is>
          <t>11:00 AM</t>
        </is>
      </c>
      <c r="F5" s="11" t="inlineStr">
        <is>
          <t>GS2</t>
        </is>
      </c>
      <c r="G5" s="6" t="inlineStr">
        <is>
          <t>Polity &amp; Constitution</t>
        </is>
      </c>
      <c r="H5" s="8" t="inlineStr">
        <is>
          <t>Kesavananda Bharati and the Basic Structure Doctrine</t>
        </is>
      </c>
      <c r="I5" s="9" t="inlineStr">
        <is>
          <t>In 1973, a 13-judge constitutional bench ruled that Parliament cannot alter the basic structure of the Constitution. The landmark verdict protected fundamental rights and judicial independence.</t>
        </is>
      </c>
      <c r="J5" s="9" t="inlineStr">
        <is>
          <t>Supreme Court Records / UPSC GS2</t>
        </is>
      </c>
      <c r="K5" s="6" t="inlineStr">
        <is>
          <t>day01-post2-kesavananda-1973</t>
        </is>
      </c>
      <c r="L5" s="10" t="inlineStr">
        <is>
          <t>Planned</t>
        </is>
      </c>
      <c r="M5" s="6" t="inlineStr"/>
    </row>
    <row r="6" ht="52" customHeight="1">
      <c r="A6" s="4" t="n">
        <v>3</v>
      </c>
      <c r="B6" s="5" t="inlineStr">
        <is>
          <t>Day 01</t>
        </is>
      </c>
      <c r="C6" s="6" t="inlineStr">
        <is>
          <t>Post 3 of 5</t>
        </is>
      </c>
      <c r="D6" s="6" t="inlineStr">
        <is>
          <t>2026-10-06</t>
        </is>
      </c>
      <c r="E6" s="6" t="inlineStr">
        <is>
          <t>02:00 PM</t>
        </is>
      </c>
      <c r="F6" s="7" t="inlineStr">
        <is>
          <t>GS3</t>
        </is>
      </c>
      <c r="G6" s="6" t="inlineStr">
        <is>
          <t>Economy</t>
        </is>
      </c>
      <c r="H6" s="8" t="inlineStr">
        <is>
          <t>1991 Balance of Payments crisis and LPG reforms</t>
        </is>
      </c>
      <c r="I6" s="9" t="inlineStr">
        <is>
          <t>With foreign exchange reserves down to barely two weeks of imports, India airlifted gold reserves to London. PV Narasimha Rao and Manmohan Singh dismantled the License Raj, ushering in globalization.</t>
        </is>
      </c>
      <c r="J6" s="9" t="inlineStr">
        <is>
          <t>Ministry of Finance / UPSC GS3</t>
        </is>
      </c>
      <c r="K6" s="6" t="inlineStr">
        <is>
          <t>day01-post3-lpg-reforms-1991</t>
        </is>
      </c>
      <c r="L6" s="10" t="inlineStr">
        <is>
          <t>Planned</t>
        </is>
      </c>
      <c r="M6" s="6" t="inlineStr"/>
    </row>
    <row r="7" ht="52" customHeight="1">
      <c r="A7" s="4" t="n">
        <v>4</v>
      </c>
      <c r="B7" s="5" t="inlineStr">
        <is>
          <t>Day 01</t>
        </is>
      </c>
      <c r="C7" s="6" t="inlineStr">
        <is>
          <t>Post 4 of 5</t>
        </is>
      </c>
      <c r="D7" s="6" t="inlineStr">
        <is>
          <t>2026-10-06</t>
        </is>
      </c>
      <c r="E7" s="6" t="inlineStr">
        <is>
          <t>05:00 PM</t>
        </is>
      </c>
      <c r="F7" s="7" t="inlineStr">
        <is>
          <t>GS3</t>
        </is>
      </c>
      <c r="G7" s="6" t="inlineStr">
        <is>
          <t>Science &amp; Tech</t>
        </is>
      </c>
      <c r="H7" s="8" t="inlineStr">
        <is>
          <t>Aryabhata launch: India's first foray into space</t>
        </is>
      </c>
      <c r="I7" s="9" t="inlineStr">
        <is>
          <t>Built in humble sheds in Peenya and transported by bullock cart, Aryabhata was launched in 1975 aboard a Soviet Kosmos-3M rocket, establishing ISRO's legendary technological capability.</t>
        </is>
      </c>
      <c r="J7" s="9" t="inlineStr">
        <is>
          <t>ISRO Historical Archives / UPSC GS3</t>
        </is>
      </c>
      <c r="K7" s="6" t="inlineStr">
        <is>
          <t>day01-post4-aryabhata-1975</t>
        </is>
      </c>
      <c r="L7" s="10" t="inlineStr">
        <is>
          <t>Planned</t>
        </is>
      </c>
      <c r="M7" s="6" t="inlineStr"/>
    </row>
    <row r="8" ht="52" customHeight="1">
      <c r="A8" s="4" t="n">
        <v>5</v>
      </c>
      <c r="B8" s="5" t="inlineStr">
        <is>
          <t>Day 01</t>
        </is>
      </c>
      <c r="C8" s="6" t="inlineStr">
        <is>
          <t>Post 5 of 5</t>
        </is>
      </c>
      <c r="D8" s="6" t="inlineStr">
        <is>
          <t>2026-10-06</t>
        </is>
      </c>
      <c r="E8" s="6" t="inlineStr">
        <is>
          <t>08:00 PM</t>
        </is>
      </c>
      <c r="F8" s="11" t="inlineStr">
        <is>
          <t>GS2</t>
        </is>
      </c>
      <c r="G8" s="6" t="inlineStr">
        <is>
          <t>International Relations</t>
        </is>
      </c>
      <c r="H8" s="8" t="inlineStr">
        <is>
          <t>1971 Liberation War and the Shimla Agreement</t>
        </is>
      </c>
      <c r="I8" s="9" t="inlineStr">
        <is>
          <t>The Indian Armed Forces liberated Bangladesh in a lightning 13-day war resulting in the unconditional surrender of 93,000 Pakistani soldiers, redrawing the geopolitical map of South Asia.</t>
        </is>
      </c>
      <c r="J8" s="9" t="inlineStr">
        <is>
          <t>Defense Archives / UPSC GS2</t>
        </is>
      </c>
      <c r="K8" s="6" t="inlineStr">
        <is>
          <t>day01-post5-bangladesh-1971</t>
        </is>
      </c>
      <c r="L8" s="10" t="inlineStr">
        <is>
          <t>Planned</t>
        </is>
      </c>
      <c r="M8" s="6" t="inlineStr"/>
    </row>
    <row r="9" ht="52" customHeight="1">
      <c r="A9" s="12" t="n">
        <v>6</v>
      </c>
      <c r="B9" s="13" t="inlineStr">
        <is>
          <t>Day 02</t>
        </is>
      </c>
      <c r="C9" s="14" t="inlineStr">
        <is>
          <t>Post 1 of 5</t>
        </is>
      </c>
      <c r="D9" s="14" t="inlineStr">
        <is>
          <t>2026-10-07</t>
        </is>
      </c>
      <c r="E9" s="14" t="inlineStr">
        <is>
          <t>08:00 AM</t>
        </is>
      </c>
      <c r="F9" s="15" t="inlineStr">
        <is>
          <t>GS3</t>
        </is>
      </c>
      <c r="G9" s="14" t="inlineStr">
        <is>
          <t>Environment &amp; Ecology</t>
        </is>
      </c>
      <c r="H9" s="16" t="inlineStr">
        <is>
          <t>Project Tiger: Launching India's flagship conservation drive</t>
        </is>
      </c>
      <c r="I9" s="17" t="inlineStr">
        <is>
          <t>Faced with dwindling wild tiger numbers under 2,000 in 1973, Jim Corbett National Park hosted the launch of Project Tiger, creating dedicated tiger reserves that today protect over 75 percent of wild tigers.</t>
        </is>
      </c>
      <c r="J9" s="17" t="inlineStr">
        <is>
          <t>NTCA / UPSC GS3</t>
        </is>
      </c>
      <c r="K9" s="14" t="inlineStr">
        <is>
          <t>day02-post1-project-tiger-1973</t>
        </is>
      </c>
      <c r="L9" s="18" t="inlineStr">
        <is>
          <t>Planned</t>
        </is>
      </c>
      <c r="M9" s="14" t="inlineStr"/>
    </row>
    <row r="10" ht="52" customHeight="1">
      <c r="A10" s="12" t="n">
        <v>7</v>
      </c>
      <c r="B10" s="13" t="inlineStr">
        <is>
          <t>Day 02</t>
        </is>
      </c>
      <c r="C10" s="14" t="inlineStr">
        <is>
          <t>Post 2 of 5</t>
        </is>
      </c>
      <c r="D10" s="14" t="inlineStr">
        <is>
          <t>2026-10-07</t>
        </is>
      </c>
      <c r="E10" s="14" t="inlineStr">
        <is>
          <t>11:00 AM</t>
        </is>
      </c>
      <c r="F10" s="19" t="inlineStr">
        <is>
          <t>GS1</t>
        </is>
      </c>
      <c r="G10" s="14" t="inlineStr">
        <is>
          <t>History &amp; Environment</t>
        </is>
      </c>
      <c r="H10" s="16" t="inlineStr">
        <is>
          <t>Chipko Movement: When women hugged trees to save forests</t>
        </is>
      </c>
      <c r="I10" s="17" t="inlineStr">
        <is>
          <t>In Mandal village of Chamoli, Gaura Devi and rural women encircled ash trees to block commercial loggers, birthing an eco-feminist movement that transformed forest conservation policy in India.</t>
        </is>
      </c>
      <c r="J10" s="17" t="inlineStr">
        <is>
          <t>Ecological History / UPSC GS1</t>
        </is>
      </c>
      <c r="K10" s="14" t="inlineStr">
        <is>
          <t>day02-post2-chipko-movement-1973</t>
        </is>
      </c>
      <c r="L10" s="18" t="inlineStr">
        <is>
          <t>Planned</t>
        </is>
      </c>
      <c r="M10" s="14" t="inlineStr"/>
    </row>
    <row r="11" ht="52" customHeight="1">
      <c r="A11" s="12" t="n">
        <v>8</v>
      </c>
      <c r="B11" s="13" t="inlineStr">
        <is>
          <t>Day 02</t>
        </is>
      </c>
      <c r="C11" s="14" t="inlineStr">
        <is>
          <t>Post 3 of 5</t>
        </is>
      </c>
      <c r="D11" s="14" t="inlineStr">
        <is>
          <t>2026-10-07</t>
        </is>
      </c>
      <c r="E11" s="14" t="inlineStr">
        <is>
          <t>02:00 PM</t>
        </is>
      </c>
      <c r="F11" s="20" t="inlineStr">
        <is>
          <t>GS2</t>
        </is>
      </c>
      <c r="G11" s="14" t="inlineStr">
        <is>
          <t>Polity &amp; Governance</t>
        </is>
      </c>
      <c r="H11" s="16" t="inlineStr">
        <is>
          <t>Interstate river water disputes and Article 262</t>
        </is>
      </c>
      <c r="I11" s="17" t="inlineStr">
        <is>
          <t>Water sharing across the Cauvery, Krishna, and Sutlej has tested federal cohesion for decades. Article 262 empowers Parliament to adjudicate disputes, barring the Supreme Court from direct jurisdiction.</t>
        </is>
      </c>
      <c r="J11" s="17" t="inlineStr">
        <is>
          <t>Water Resources Ministry / UPSC GS2</t>
        </is>
      </c>
      <c r="K11" s="14" t="inlineStr">
        <is>
          <t>day02-post3-river-water-disputes</t>
        </is>
      </c>
      <c r="L11" s="18" t="inlineStr">
        <is>
          <t>Planned</t>
        </is>
      </c>
      <c r="M11" s="14" t="inlineStr"/>
    </row>
    <row r="12" ht="52" customHeight="1">
      <c r="A12" s="12" t="n">
        <v>9</v>
      </c>
      <c r="B12" s="13" t="inlineStr">
        <is>
          <t>Day 02</t>
        </is>
      </c>
      <c r="C12" s="14" t="inlineStr">
        <is>
          <t>Post 4 of 5</t>
        </is>
      </c>
      <c r="D12" s="14" t="inlineStr">
        <is>
          <t>2026-10-07</t>
        </is>
      </c>
      <c r="E12" s="14" t="inlineStr">
        <is>
          <t>05:00 PM</t>
        </is>
      </c>
      <c r="F12" s="15" t="inlineStr">
        <is>
          <t>GS3</t>
        </is>
      </c>
      <c r="G12" s="14" t="inlineStr">
        <is>
          <t>Agriculture &amp; Economy</t>
        </is>
      </c>
      <c r="H12" s="16" t="inlineStr">
        <is>
          <t>Operation Flood: Dr. Verghese Kurien and the White Revolution</t>
        </is>
      </c>
      <c r="I12" s="17" t="inlineStr">
        <is>
          <t>Through the Anand cooperative model and NDDB, Operation Flood turned a milk-deficient nation into the world's largest milk producer, empowering millions of rural women dairy farmers.</t>
        </is>
      </c>
      <c r="J12" s="17" t="inlineStr">
        <is>
          <t>Agriculture Ministry / UPSC GS3</t>
        </is>
      </c>
      <c r="K12" s="14" t="inlineStr">
        <is>
          <t>day02-post4-operation-flood</t>
        </is>
      </c>
      <c r="L12" s="18" t="inlineStr">
        <is>
          <t>Planned</t>
        </is>
      </c>
      <c r="M12" s="14" t="inlineStr"/>
    </row>
    <row r="13" ht="52" customHeight="1">
      <c r="A13" s="12" t="n">
        <v>10</v>
      </c>
      <c r="B13" s="13" t="inlineStr">
        <is>
          <t>Day 02</t>
        </is>
      </c>
      <c r="C13" s="14" t="inlineStr">
        <is>
          <t>Post 5 of 5</t>
        </is>
      </c>
      <c r="D13" s="14" t="inlineStr">
        <is>
          <t>2026-10-07</t>
        </is>
      </c>
      <c r="E13" s="14" t="inlineStr">
        <is>
          <t>08:00 PM</t>
        </is>
      </c>
      <c r="F13" s="20" t="inlineStr">
        <is>
          <t>GS2</t>
        </is>
      </c>
      <c r="G13" s="14" t="inlineStr">
        <is>
          <t>International Relations</t>
        </is>
      </c>
      <c r="H13" s="16" t="inlineStr">
        <is>
          <t>Indus Waters Treaty: Surviving six decades of conflict</t>
        </is>
      </c>
      <c r="I13" s="17" t="inlineStr">
        <is>
          <t>Signed in 1960 under World Bank mediation, the pact divided the Indus river system, allocating eastern rivers to India and western rivers to Pakistan, remaining intact despite multiple wars.</t>
        </is>
      </c>
      <c r="J13" s="17" t="inlineStr">
        <is>
          <t>MEA / UPSC GS2</t>
        </is>
      </c>
      <c r="K13" s="14" t="inlineStr">
        <is>
          <t>day02-post5-indus-waters-treaty</t>
        </is>
      </c>
      <c r="L13" s="18" t="inlineStr">
        <is>
          <t>Planned</t>
        </is>
      </c>
      <c r="M13" s="14" t="inlineStr"/>
    </row>
    <row r="14" ht="52" customHeight="1">
      <c r="A14" s="4" t="n">
        <v>11</v>
      </c>
      <c r="B14" s="5" t="inlineStr">
        <is>
          <t>Day 03</t>
        </is>
      </c>
      <c r="C14" s="6" t="inlineStr">
        <is>
          <t>Post 1 of 5</t>
        </is>
      </c>
      <c r="D14" s="6" t="inlineStr">
        <is>
          <t>2026-10-08</t>
        </is>
      </c>
      <c r="E14" s="6" t="inlineStr">
        <is>
          <t>08:00 AM</t>
        </is>
      </c>
      <c r="F14" s="7" t="inlineStr">
        <is>
          <t>GS3</t>
        </is>
      </c>
      <c r="G14" s="6" t="inlineStr">
        <is>
          <t>Science &amp; Tech</t>
        </is>
      </c>
      <c r="H14" s="8" t="inlineStr">
        <is>
          <t>Pokhran-I: India's peaceful nuclear explosion</t>
        </is>
      </c>
      <c r="I14" s="9" t="inlineStr">
        <is>
          <t>On Buddha Purnima in 1974, scientists led by Raja Ramanna detonated India's first nuclear device beneath Thar Desert sands, signaling strategic deterrence under the codename Operation Smiling Buddha.</t>
        </is>
      </c>
      <c r="J14" s="9" t="inlineStr">
        <is>
          <t>BARC / UPSC GS3</t>
        </is>
      </c>
      <c r="K14" s="6" t="inlineStr">
        <is>
          <t>day03-post1-smiling-buddha-1974</t>
        </is>
      </c>
      <c r="L14" s="10" t="inlineStr">
        <is>
          <t>Planned</t>
        </is>
      </c>
      <c r="M14" s="6" t="inlineStr"/>
    </row>
    <row r="15" ht="52" customHeight="1">
      <c r="A15" s="4" t="n">
        <v>12</v>
      </c>
      <c r="B15" s="5" t="inlineStr">
        <is>
          <t>Day 03</t>
        </is>
      </c>
      <c r="C15" s="6" t="inlineStr">
        <is>
          <t>Post 2 of 5</t>
        </is>
      </c>
      <c r="D15" s="6" t="inlineStr">
        <is>
          <t>2026-10-08</t>
        </is>
      </c>
      <c r="E15" s="6" t="inlineStr">
        <is>
          <t>11:00 AM</t>
        </is>
      </c>
      <c r="F15" s="7" t="inlineStr">
        <is>
          <t>GS3</t>
        </is>
      </c>
      <c r="G15" s="6" t="inlineStr">
        <is>
          <t>Space &amp; Sci-Tech</t>
        </is>
      </c>
      <c r="H15" s="8" t="inlineStr">
        <is>
          <t>Chandrayaan-3: Conquering the lunar south pole</t>
        </is>
      </c>
      <c r="I15" s="9" t="inlineStr">
        <is>
          <t>The Vikram lander touched down softly near the Moon's rugged south pole at Shiv Shakti point, making India the fourth country to land on the Moon and the first near the south polar crater zone.</t>
        </is>
      </c>
      <c r="J15" s="9" t="inlineStr">
        <is>
          <t>ISRO / UPSC GS3</t>
        </is>
      </c>
      <c r="K15" s="6" t="inlineStr">
        <is>
          <t>day03-post2-chandrayaan-3</t>
        </is>
      </c>
      <c r="L15" s="10" t="inlineStr">
        <is>
          <t>Planned</t>
        </is>
      </c>
      <c r="M15" s="6" t="inlineStr"/>
    </row>
    <row r="16" ht="52" customHeight="1">
      <c r="A16" s="4" t="n">
        <v>13</v>
      </c>
      <c r="B16" s="5" t="inlineStr">
        <is>
          <t>Day 03</t>
        </is>
      </c>
      <c r="C16" s="6" t="inlineStr">
        <is>
          <t>Post 3 of 5</t>
        </is>
      </c>
      <c r="D16" s="6" t="inlineStr">
        <is>
          <t>2026-10-08</t>
        </is>
      </c>
      <c r="E16" s="6" t="inlineStr">
        <is>
          <t>02:00 PM</t>
        </is>
      </c>
      <c r="F16" s="7" t="inlineStr">
        <is>
          <t>GS3</t>
        </is>
      </c>
      <c r="G16" s="6" t="inlineStr">
        <is>
          <t>Science &amp; Tech</t>
        </is>
      </c>
      <c r="H16" s="8" t="inlineStr">
        <is>
          <t>Homi Bhabha and India's three-stage nuclear power program</t>
        </is>
      </c>
      <c r="I16" s="9" t="inlineStr">
        <is>
          <t>Capitalizing on vast domestic thorium reserves, Dr. Homi Bhabha designed a closed three-stage fuel cycle transitioning from pressurized heavy water reactors to fast breeder and advanced thorium reactors.</t>
        </is>
      </c>
      <c r="J16" s="9" t="inlineStr">
        <is>
          <t>DAE / UPSC GS3</t>
        </is>
      </c>
      <c r="K16" s="6" t="inlineStr">
        <is>
          <t>day03-post3-homi-bhabha-vision</t>
        </is>
      </c>
      <c r="L16" s="10" t="inlineStr">
        <is>
          <t>Planned</t>
        </is>
      </c>
      <c r="M16" s="6" t="inlineStr"/>
    </row>
    <row r="17" ht="52" customHeight="1">
      <c r="A17" s="4" t="n">
        <v>14</v>
      </c>
      <c r="B17" s="5" t="inlineStr">
        <is>
          <t>Day 03</t>
        </is>
      </c>
      <c r="C17" s="6" t="inlineStr">
        <is>
          <t>Post 4 of 5</t>
        </is>
      </c>
      <c r="D17" s="6" t="inlineStr">
        <is>
          <t>2026-10-08</t>
        </is>
      </c>
      <c r="E17" s="6" t="inlineStr">
        <is>
          <t>05:00 PM</t>
        </is>
      </c>
      <c r="F17" s="7" t="inlineStr">
        <is>
          <t>GS3</t>
        </is>
      </c>
      <c r="G17" s="6" t="inlineStr">
        <is>
          <t>Defense &amp; Security</t>
        </is>
      </c>
      <c r="H17" s="8" t="inlineStr">
        <is>
          <t>Dr. APJ Abdul Kalam and the Integrated Guided Missile Program</t>
        </is>
      </c>
      <c r="I17" s="9" t="inlineStr">
        <is>
          <t>Conceived in 1983, the IGMDP yielded five indigenous missile platforms: Prithvi, Agni, Trishul, Akash, and Nag, cementing strategic defense autonomy and earning Dr. Kalam the title Missile Man of India.</t>
        </is>
      </c>
      <c r="J17" s="9" t="inlineStr">
        <is>
          <t>DRDO / UPSC GS3</t>
        </is>
      </c>
      <c r="K17" s="6" t="inlineStr">
        <is>
          <t>day03-post4-igmdp-missile-program</t>
        </is>
      </c>
      <c r="L17" s="10" t="inlineStr">
        <is>
          <t>Planned</t>
        </is>
      </c>
      <c r="M17" s="6" t="inlineStr"/>
    </row>
    <row r="18" ht="52" customHeight="1">
      <c r="A18" s="4" t="n">
        <v>15</v>
      </c>
      <c r="B18" s="5" t="inlineStr">
        <is>
          <t>Day 03</t>
        </is>
      </c>
      <c r="C18" s="6" t="inlineStr">
        <is>
          <t>Post 5 of 5</t>
        </is>
      </c>
      <c r="D18" s="6" t="inlineStr">
        <is>
          <t>2026-10-08</t>
        </is>
      </c>
      <c r="E18" s="6" t="inlineStr">
        <is>
          <t>08:00 PM</t>
        </is>
      </c>
      <c r="F18" s="11" t="inlineStr">
        <is>
          <t>GS2</t>
        </is>
      </c>
      <c r="G18" s="6" t="inlineStr">
        <is>
          <t>Security &amp; IR</t>
        </is>
      </c>
      <c r="H18" s="8" t="inlineStr">
        <is>
          <t>Operation Cactus: Paratroopers thwart Maldives coup</t>
        </is>
      </c>
      <c r="I18" s="9" t="inlineStr">
        <is>
          <t>In November 1988, responding to President Gayoom's SOS, Indian paratroopers flew 2,000 km non-stop, landed under fire in Malé, and neutralized foreign mercenaries within hours, securing regional stability.</t>
        </is>
      </c>
      <c r="J18" s="9" t="inlineStr">
        <is>
          <t>Military History / UPSC GS2</t>
        </is>
      </c>
      <c r="K18" s="6" t="inlineStr">
        <is>
          <t>day03-post5-operation-cactus</t>
        </is>
      </c>
      <c r="L18" s="10" t="inlineStr">
        <is>
          <t>Planned</t>
        </is>
      </c>
      <c r="M18" s="6" t="inlineStr"/>
    </row>
    <row r="19" ht="52" customHeight="1">
      <c r="A19" s="12" t="n">
        <v>16</v>
      </c>
      <c r="B19" s="13" t="inlineStr">
        <is>
          <t>Day 04</t>
        </is>
      </c>
      <c r="C19" s="14" t="inlineStr">
        <is>
          <t>Post 1 of 5</t>
        </is>
      </c>
      <c r="D19" s="14" t="inlineStr">
        <is>
          <t>2026-10-09</t>
        </is>
      </c>
      <c r="E19" s="14" t="inlineStr">
        <is>
          <t>08:00 AM</t>
        </is>
      </c>
      <c r="F19" s="20" t="inlineStr">
        <is>
          <t>GS2</t>
        </is>
      </c>
      <c r="G19" s="14" t="inlineStr">
        <is>
          <t>Polity &amp; Constitution</t>
        </is>
      </c>
      <c r="H19" s="16" t="inlineStr">
        <is>
          <t>The 1975 Emergency and the assault on democratic institutions</t>
        </is>
      </c>
      <c r="I19" s="17" t="inlineStr">
        <is>
          <t>Under Article 352, civil liberties and press freedoms were suspended for 21 months. Fundamental rights were curtailed until the 1977 elections restored constitutional democracy.</t>
        </is>
      </c>
      <c r="J19" s="17" t="inlineStr">
        <is>
          <t>Constitutional History / UPSC GS2</t>
        </is>
      </c>
      <c r="K19" s="14" t="inlineStr">
        <is>
          <t>day04-post1-emergency-1975</t>
        </is>
      </c>
      <c r="L19" s="18" t="inlineStr">
        <is>
          <t>Planned</t>
        </is>
      </c>
      <c r="M19" s="14" t="inlineStr"/>
    </row>
    <row r="20" ht="52" customHeight="1">
      <c r="A20" s="12" t="n">
        <v>17</v>
      </c>
      <c r="B20" s="13" t="inlineStr">
        <is>
          <t>Day 04</t>
        </is>
      </c>
      <c r="C20" s="14" t="inlineStr">
        <is>
          <t>Post 2 of 5</t>
        </is>
      </c>
      <c r="D20" s="14" t="inlineStr">
        <is>
          <t>2026-10-09</t>
        </is>
      </c>
      <c r="E20" s="14" t="inlineStr">
        <is>
          <t>11:00 AM</t>
        </is>
      </c>
      <c r="F20" s="20" t="inlineStr">
        <is>
          <t>GS2</t>
        </is>
      </c>
      <c r="G20" s="14" t="inlineStr">
        <is>
          <t>Polity &amp; Governance</t>
        </is>
      </c>
      <c r="H20" s="16" t="inlineStr">
        <is>
          <t>44th Constitutional Amendment: Erecting guardrails against dictatorship</t>
        </is>
      </c>
      <c r="I20" s="17" t="inlineStr">
        <is>
          <t>Enacted in 1978, the 44th Amendment replaced internal disturbance with armed rebellion, mandated Cabinet written advice for Emergency, and ensured Articles 20 and 21 can never be suspended.</t>
        </is>
      </c>
      <c r="J20" s="17" t="inlineStr">
        <is>
          <t>Ministry of Law &amp; Justice / UPSC GS2</t>
        </is>
      </c>
      <c r="K20" s="14" t="inlineStr">
        <is>
          <t>day04-post2-amendment-44-1978</t>
        </is>
      </c>
      <c r="L20" s="18" t="inlineStr">
        <is>
          <t>Planned</t>
        </is>
      </c>
      <c r="M20" s="14" t="inlineStr"/>
    </row>
    <row r="21" ht="52" customHeight="1">
      <c r="A21" s="12" t="n">
        <v>18</v>
      </c>
      <c r="B21" s="13" t="inlineStr">
        <is>
          <t>Day 04</t>
        </is>
      </c>
      <c r="C21" s="14" t="inlineStr">
        <is>
          <t>Post 3 of 5</t>
        </is>
      </c>
      <c r="D21" s="14" t="inlineStr">
        <is>
          <t>2026-10-09</t>
        </is>
      </c>
      <c r="E21" s="14" t="inlineStr">
        <is>
          <t>02:00 PM</t>
        </is>
      </c>
      <c r="F21" s="19" t="inlineStr">
        <is>
          <t>GS1</t>
        </is>
      </c>
      <c r="G21" s="14" t="inlineStr">
        <is>
          <t>Modern Indian History</t>
        </is>
      </c>
      <c r="H21" s="16" t="inlineStr">
        <is>
          <t>Sardar Vallabhbhai Patel and the integration of 565 princely states</t>
        </is>
      </c>
      <c r="I21" s="17" t="inlineStr">
        <is>
          <t>Armed with persuasion, diplomacy, and resolute firmness, Sardar Patel and VP Menon integrated hundreds of autonomous kingdoms into the Indian Union, preserving territorial integrity.</t>
        </is>
      </c>
      <c r="J21" s="17" t="inlineStr">
        <is>
          <t>National Archives / UPSC GS1</t>
        </is>
      </c>
      <c r="K21" s="14" t="inlineStr">
        <is>
          <t>day04-post3-sardar-patel-princely-states</t>
        </is>
      </c>
      <c r="L21" s="18" t="inlineStr">
        <is>
          <t>Planned</t>
        </is>
      </c>
      <c r="M21" s="14" t="inlineStr"/>
    </row>
    <row r="22" ht="52" customHeight="1">
      <c r="A22" s="12" t="n">
        <v>19</v>
      </c>
      <c r="B22" s="13" t="inlineStr">
        <is>
          <t>Day 04</t>
        </is>
      </c>
      <c r="C22" s="14" t="inlineStr">
        <is>
          <t>Post 4 of 5</t>
        </is>
      </c>
      <c r="D22" s="14" t="inlineStr">
        <is>
          <t>2026-10-09</t>
        </is>
      </c>
      <c r="E22" s="14" t="inlineStr">
        <is>
          <t>05:00 PM</t>
        </is>
      </c>
      <c r="F22" s="15" t="inlineStr">
        <is>
          <t>GS3</t>
        </is>
      </c>
      <c r="G22" s="14" t="inlineStr">
        <is>
          <t>Economy</t>
        </is>
      </c>
      <c r="H22" s="16" t="inlineStr">
        <is>
          <t>The 1978 currency demonetisation of high-denomination notes</t>
        </is>
      </c>
      <c r="I22" s="17" t="inlineStr">
        <is>
          <t>The Janata Party government demonetised 1,000, 5,000, and 10,000 rupee notes via ordinance to combat illicit wealth, an early precursor to economic anti-black-money measures.</t>
        </is>
      </c>
      <c r="J22" s="17" t="inlineStr">
        <is>
          <t>RBI Historical Records / UPSC GS3</t>
        </is>
      </c>
      <c r="K22" s="14" t="inlineStr">
        <is>
          <t>day04-post4-demonetisation-1978</t>
        </is>
      </c>
      <c r="L22" s="18" t="inlineStr">
        <is>
          <t>Planned</t>
        </is>
      </c>
      <c r="M22" s="14" t="inlineStr"/>
    </row>
    <row r="23" ht="52" customHeight="1">
      <c r="A23" s="12" t="n">
        <v>20</v>
      </c>
      <c r="B23" s="13" t="inlineStr">
        <is>
          <t>Day 04</t>
        </is>
      </c>
      <c r="C23" s="14" t="inlineStr">
        <is>
          <t>Post 5 of 5</t>
        </is>
      </c>
      <c r="D23" s="14" t="inlineStr">
        <is>
          <t>2026-10-09</t>
        </is>
      </c>
      <c r="E23" s="14" t="inlineStr">
        <is>
          <t>08:00 PM</t>
        </is>
      </c>
      <c r="F23" s="19" t="inlineStr">
        <is>
          <t>GS1</t>
        </is>
      </c>
      <c r="G23" s="14" t="inlineStr">
        <is>
          <t>Post-Independence History</t>
        </is>
      </c>
      <c r="H23" s="16" t="inlineStr">
        <is>
          <t>Operation Vijay 1961: Ending 451 years of Portuguese colonial rule</t>
        </is>
      </c>
      <c r="I23" s="17" t="inlineStr">
        <is>
          <t>Indian tri-service forces marched into Goa, Daman, and Diu in December 1961 after Portugal refused diplomatic negotiations, liberating the enclave and reuniting it with the motherland.</t>
        </is>
      </c>
      <c r="J23" s="17" t="inlineStr">
        <is>
          <t>Armed Forces Archives / UPSC GS1</t>
        </is>
      </c>
      <c r="K23" s="14" t="inlineStr">
        <is>
          <t>day04-post5-operation-vijay-goa-1961</t>
        </is>
      </c>
      <c r="L23" s="18" t="inlineStr">
        <is>
          <t>Planned</t>
        </is>
      </c>
      <c r="M23" s="14" t="inlineStr"/>
    </row>
    <row r="24" ht="52" customHeight="1">
      <c r="A24" s="4" t="n">
        <v>21</v>
      </c>
      <c r="B24" s="5" t="inlineStr">
        <is>
          <t>Day 05</t>
        </is>
      </c>
      <c r="C24" s="6" t="inlineStr">
        <is>
          <t>Post 1 of 5</t>
        </is>
      </c>
      <c r="D24" s="6" t="inlineStr">
        <is>
          <t>2026-10-10</t>
        </is>
      </c>
      <c r="E24" s="6" t="inlineStr">
        <is>
          <t>08:00 AM</t>
        </is>
      </c>
      <c r="F24" s="21" t="inlineStr">
        <is>
          <t>GS1</t>
        </is>
      </c>
      <c r="G24" s="6" t="inlineStr">
        <is>
          <t>History &amp; Tribal Heritage</t>
        </is>
      </c>
      <c r="H24" s="8" t="inlineStr">
        <is>
          <t>Birsa Munda and the Great Ulgulan tribal rebellion</t>
        </is>
      </c>
      <c r="I24" s="9" t="inlineStr">
        <is>
          <t>In the Chhotanagpur plateau, Bhagwan Birsa Munda rallied Munda tribes against British land alienation and moneylenders, forcing the colonial state to pass the Chotanagpur Tenancy Act 1908.</t>
        </is>
      </c>
      <c r="J24" s="9" t="inlineStr">
        <is>
          <t>Tribal Affairs / UPSC GS1</t>
        </is>
      </c>
      <c r="K24" s="6" t="inlineStr">
        <is>
          <t>day05-post1-birsa-munda-ulgulan</t>
        </is>
      </c>
      <c r="L24" s="10" t="inlineStr">
        <is>
          <t>Planned</t>
        </is>
      </c>
      <c r="M24" s="6" t="inlineStr"/>
    </row>
    <row r="25" ht="52" customHeight="1">
      <c r="A25" s="4" t="n">
        <v>22</v>
      </c>
      <c r="B25" s="5" t="inlineStr">
        <is>
          <t>Day 05</t>
        </is>
      </c>
      <c r="C25" s="6" t="inlineStr">
        <is>
          <t>Post 2 of 5</t>
        </is>
      </c>
      <c r="D25" s="6" t="inlineStr">
        <is>
          <t>2026-10-10</t>
        </is>
      </c>
      <c r="E25" s="6" t="inlineStr">
        <is>
          <t>11:00 AM</t>
        </is>
      </c>
      <c r="F25" s="21" t="inlineStr">
        <is>
          <t>GS1</t>
        </is>
      </c>
      <c r="G25" s="6" t="inlineStr">
        <is>
          <t>Social Justice &amp; History</t>
        </is>
      </c>
      <c r="H25" s="8" t="inlineStr">
        <is>
          <t>Dr. BR Ambedkar and the 1927 Mahad Satyagraha</t>
        </is>
      </c>
      <c r="I25" s="9" t="inlineStr">
        <is>
          <t>Dr. Babasaheb Ambedkar led thousands of Dalits to drink water from the Chawdar tank in Mahad, declaring equal human rights and igniting the modern civil rights battle against social untouchability.</t>
        </is>
      </c>
      <c r="J25" s="9" t="inlineStr">
        <is>
          <t>Social Justice / UPSC GS1</t>
        </is>
      </c>
      <c r="K25" s="6" t="inlineStr">
        <is>
          <t>day05-post2-mahad-satyagraha-1927</t>
        </is>
      </c>
      <c r="L25" s="10" t="inlineStr">
        <is>
          <t>Planned</t>
        </is>
      </c>
      <c r="M25" s="6" t="inlineStr"/>
    </row>
    <row r="26" ht="52" customHeight="1">
      <c r="A26" s="4" t="n">
        <v>23</v>
      </c>
      <c r="B26" s="5" t="inlineStr">
        <is>
          <t>Day 05</t>
        </is>
      </c>
      <c r="C26" s="6" t="inlineStr">
        <is>
          <t>Post 3 of 5</t>
        </is>
      </c>
      <c r="D26" s="6" t="inlineStr">
        <is>
          <t>2026-10-10</t>
        </is>
      </c>
      <c r="E26" s="6" t="inlineStr">
        <is>
          <t>02:00 PM</t>
        </is>
      </c>
      <c r="F26" s="21" t="inlineStr">
        <is>
          <t>GS1</t>
        </is>
      </c>
      <c r="G26" s="6" t="inlineStr">
        <is>
          <t>Modern Indian History</t>
        </is>
      </c>
      <c r="H26" s="8" t="inlineStr">
        <is>
          <t>The Indigo Revolt: Bengal ryots defy British planters</t>
        </is>
      </c>
      <c r="I26" s="9" t="inlineStr">
        <is>
          <t>Exploited by fraudulent contracts, Bengal peasants united to refuse sowing indigo, supported by Dinabandhu Mitra's play Nil Darpan, forcing the colonial government to establish the Indigo Commission.</t>
        </is>
      </c>
      <c r="J26" s="9" t="inlineStr">
        <is>
          <t>Agrarian History / UPSC GS1</t>
        </is>
      </c>
      <c r="K26" s="6" t="inlineStr">
        <is>
          <t>day05-post3-indigo-revolt-1859</t>
        </is>
      </c>
      <c r="L26" s="10" t="inlineStr">
        <is>
          <t>Planned</t>
        </is>
      </c>
      <c r="M26" s="6" t="inlineStr"/>
    </row>
    <row r="27" ht="52" customHeight="1">
      <c r="A27" s="4" t="n">
        <v>24</v>
      </c>
      <c r="B27" s="5" t="inlineStr">
        <is>
          <t>Day 05</t>
        </is>
      </c>
      <c r="C27" s="6" t="inlineStr">
        <is>
          <t>Post 4 of 5</t>
        </is>
      </c>
      <c r="D27" s="6" t="inlineStr">
        <is>
          <t>2026-10-10</t>
        </is>
      </c>
      <c r="E27" s="6" t="inlineStr">
        <is>
          <t>05:00 PM</t>
        </is>
      </c>
      <c r="F27" s="7" t="inlineStr">
        <is>
          <t>GS3</t>
        </is>
      </c>
      <c r="G27" s="6" t="inlineStr">
        <is>
          <t>Environment &amp; Movements</t>
        </is>
      </c>
      <c r="H27" s="8" t="inlineStr">
        <is>
          <t>Save Silent Valley: The battle for Kerala's virgin rainforest</t>
        </is>
      </c>
      <c r="I27" s="9" t="inlineStr">
        <is>
          <t>Poets, teachers, and conservationists resisted a hydroelectric dam across Kunthipuzha river to protect endangered lion-tailed macaques, leading to the creation of Silent Valley National Park in 1984.</t>
        </is>
      </c>
      <c r="J27" s="9" t="inlineStr">
        <is>
          <t>Environment Ministry / UPSC GS3</t>
        </is>
      </c>
      <c r="K27" s="6" t="inlineStr">
        <is>
          <t>day05-post4-silent-valley-movement</t>
        </is>
      </c>
      <c r="L27" s="10" t="inlineStr">
        <is>
          <t>Planned</t>
        </is>
      </c>
      <c r="M27" s="6" t="inlineStr"/>
    </row>
    <row r="28" ht="52" customHeight="1">
      <c r="A28" s="4" t="n">
        <v>25</v>
      </c>
      <c r="B28" s="5" t="inlineStr">
        <is>
          <t>Day 05</t>
        </is>
      </c>
      <c r="C28" s="6" t="inlineStr">
        <is>
          <t>Post 5 of 5</t>
        </is>
      </c>
      <c r="D28" s="6" t="inlineStr">
        <is>
          <t>2026-10-10</t>
        </is>
      </c>
      <c r="E28" s="6" t="inlineStr">
        <is>
          <t>08:00 PM</t>
        </is>
      </c>
      <c r="F28" s="11" t="inlineStr">
        <is>
          <t>GS2</t>
        </is>
      </c>
      <c r="G28" s="6" t="inlineStr">
        <is>
          <t>Governance &amp; Accountability</t>
        </is>
      </c>
      <c r="H28" s="8" t="inlineStr">
        <is>
          <t>The Right to Information Act: Empowering citizen oversight</t>
        </is>
      </c>
      <c r="I28" s="9" t="inlineStr">
        <is>
          <t>Born from Mazdoor Kisan Shakti Sangathan grassroots public hearings in rural Rajasthan, the RTI Act 2005 dismantled official secrecy, empowering citizens to audit governance directly.</t>
        </is>
      </c>
      <c r="J28" s="9" t="inlineStr">
        <is>
          <t>DoPT / UPSC GS2</t>
        </is>
      </c>
      <c r="K28" s="6" t="inlineStr">
        <is>
          <t>day05-post5-rti-act-2005</t>
        </is>
      </c>
      <c r="L28" s="10" t="inlineStr">
        <is>
          <t>Planned</t>
        </is>
      </c>
      <c r="M28" s="6" t="inlineStr"/>
    </row>
    <row r="29" ht="52" customHeight="1">
      <c r="A29" s="12" t="n">
        <v>26</v>
      </c>
      <c r="B29" s="13" t="inlineStr">
        <is>
          <t>Day 06</t>
        </is>
      </c>
      <c r="C29" s="14" t="inlineStr">
        <is>
          <t>Post 1 of 5</t>
        </is>
      </c>
      <c r="D29" s="14" t="inlineStr">
        <is>
          <t>2026-10-11</t>
        </is>
      </c>
      <c r="E29" s="14" t="inlineStr">
        <is>
          <t>08:00 AM</t>
        </is>
      </c>
      <c r="F29" s="15" t="inlineStr">
        <is>
          <t>GS3</t>
        </is>
      </c>
      <c r="G29" s="14" t="inlineStr">
        <is>
          <t>Economy &amp; Banking</t>
        </is>
      </c>
      <c r="H29" s="16" t="inlineStr">
        <is>
          <t>1969 Bank Nationalisation: Redirecting credit to rural India</t>
        </is>
      </c>
      <c r="I29" s="17" t="inlineStr">
        <is>
          <t>Prime Minister Indira Gandhi nationalised 14 major private commercial banks holding 70 percent of deposits, expanding banking into unbanked villages, agriculture, and small-scale industries.</t>
        </is>
      </c>
      <c r="J29" s="17" t="inlineStr">
        <is>
          <t>Banking Division / UPSC GS3</t>
        </is>
      </c>
      <c r="K29" s="14" t="inlineStr">
        <is>
          <t>day06-post1-bank-nationalisation-1969</t>
        </is>
      </c>
      <c r="L29" s="18" t="inlineStr">
        <is>
          <t>Planned</t>
        </is>
      </c>
      <c r="M29" s="14" t="inlineStr"/>
    </row>
    <row r="30" ht="52" customHeight="1">
      <c r="A30" s="12" t="n">
        <v>27</v>
      </c>
      <c r="B30" s="13" t="inlineStr">
        <is>
          <t>Day 06</t>
        </is>
      </c>
      <c r="C30" s="14" t="inlineStr">
        <is>
          <t>Post 2 of 5</t>
        </is>
      </c>
      <c r="D30" s="14" t="inlineStr">
        <is>
          <t>2026-10-11</t>
        </is>
      </c>
      <c r="E30" s="14" t="inlineStr">
        <is>
          <t>11:00 AM</t>
        </is>
      </c>
      <c r="F30" s="15" t="inlineStr">
        <is>
          <t>GS3</t>
        </is>
      </c>
      <c r="G30" s="14" t="inlineStr">
        <is>
          <t>Infrastructure &amp; Economy</t>
        </is>
      </c>
      <c r="H30" s="16" t="inlineStr">
        <is>
          <t>Golden Quadrilateral: The highway network that united India</t>
        </is>
      </c>
      <c r="I30" s="17" t="inlineStr">
        <is>
          <t>Initiated under Atal Bihari Vajpayee, the 5,846-km four-lane expressway connected Delhi, Mumbai, Chennai, and Kolkata, cutting transit times and sparking national freight and industrial corridors.</t>
        </is>
      </c>
      <c r="J30" s="17" t="inlineStr">
        <is>
          <t>MoRTH / UPSC GS3</t>
        </is>
      </c>
      <c r="K30" s="14" t="inlineStr">
        <is>
          <t>day06-post2-golden-quadrilateral</t>
        </is>
      </c>
      <c r="L30" s="18" t="inlineStr">
        <is>
          <t>Planned</t>
        </is>
      </c>
      <c r="M30" s="14" t="inlineStr"/>
    </row>
    <row r="31" ht="52" customHeight="1">
      <c r="A31" s="12" t="n">
        <v>28</v>
      </c>
      <c r="B31" s="13" t="inlineStr">
        <is>
          <t>Day 06</t>
        </is>
      </c>
      <c r="C31" s="14" t="inlineStr">
        <is>
          <t>Post 3 of 5</t>
        </is>
      </c>
      <c r="D31" s="14" t="inlineStr">
        <is>
          <t>2026-10-11</t>
        </is>
      </c>
      <c r="E31" s="14" t="inlineStr">
        <is>
          <t>02:00 PM</t>
        </is>
      </c>
      <c r="F31" s="15" t="inlineStr">
        <is>
          <t>GS3</t>
        </is>
      </c>
      <c r="G31" s="14" t="inlineStr">
        <is>
          <t>Digital Economy &amp; Tech</t>
        </is>
      </c>
      <c r="H31" s="16" t="inlineStr">
        <is>
          <t>UPI and the India Stack: Building global digital infrastructure</t>
        </is>
      </c>
      <c r="I31" s="17" t="inlineStr">
        <is>
          <t>Unified Payments Interface developed by NPCI revolutionized fintech, processing over 14 billion monthly transactions and exporting open-protocol digital payments across four continents.</t>
        </is>
      </c>
      <c r="J31" s="17" t="inlineStr">
        <is>
          <t>NPCI / UPSC GS3</t>
        </is>
      </c>
      <c r="K31" s="14" t="inlineStr">
        <is>
          <t>day06-post3-upi-digital-public-infra</t>
        </is>
      </c>
      <c r="L31" s="18" t="inlineStr">
        <is>
          <t>Planned</t>
        </is>
      </c>
      <c r="M31" s="14" t="inlineStr"/>
    </row>
    <row r="32" ht="52" customHeight="1">
      <c r="A32" s="12" t="n">
        <v>29</v>
      </c>
      <c r="B32" s="13" t="inlineStr">
        <is>
          <t>Day 06</t>
        </is>
      </c>
      <c r="C32" s="14" t="inlineStr">
        <is>
          <t>Post 4 of 5</t>
        </is>
      </c>
      <c r="D32" s="14" t="inlineStr">
        <is>
          <t>2026-10-11</t>
        </is>
      </c>
      <c r="E32" s="14" t="inlineStr">
        <is>
          <t>05:00 PM</t>
        </is>
      </c>
      <c r="F32" s="19" t="inlineStr">
        <is>
          <t>GS1</t>
        </is>
      </c>
      <c r="G32" s="14" t="inlineStr">
        <is>
          <t>Economic History</t>
        </is>
      </c>
      <c r="H32" s="16" t="inlineStr">
        <is>
          <t>The 1944 Bombay Plan: Industrialists proposing state-led growth</t>
        </is>
      </c>
      <c r="I32" s="17" t="inlineStr">
        <is>
          <t>Eight prominent industrialists, including JRD Tata and GD Birla, authored a plan advocating massive state investment in heavy industry and infrastructure, laying early seeds of five-year plans.</t>
        </is>
      </c>
      <c r="J32" s="17" t="inlineStr">
        <is>
          <t>Economic History / UPSC GS1</t>
        </is>
      </c>
      <c r="K32" s="14" t="inlineStr">
        <is>
          <t>day06-post4-bombay-plan-1944</t>
        </is>
      </c>
      <c r="L32" s="18" t="inlineStr">
        <is>
          <t>Planned</t>
        </is>
      </c>
      <c r="M32" s="14" t="inlineStr"/>
    </row>
    <row r="33" ht="52" customHeight="1">
      <c r="A33" s="12" t="n">
        <v>30</v>
      </c>
      <c r="B33" s="13" t="inlineStr">
        <is>
          <t>Day 06</t>
        </is>
      </c>
      <c r="C33" s="14" t="inlineStr">
        <is>
          <t>Post 5 of 5</t>
        </is>
      </c>
      <c r="D33" s="14" t="inlineStr">
        <is>
          <t>2026-10-11</t>
        </is>
      </c>
      <c r="E33" s="14" t="inlineStr">
        <is>
          <t>08:00 PM</t>
        </is>
      </c>
      <c r="F33" s="20" t="inlineStr">
        <is>
          <t>GS2</t>
        </is>
      </c>
      <c r="G33" s="14" t="inlineStr">
        <is>
          <t>Geopolitics &amp; Trade</t>
        </is>
      </c>
      <c r="H33" s="16" t="inlineStr">
        <is>
          <t>Chabahar Port: India's gateway bypassing land barriers</t>
        </is>
      </c>
      <c r="I33" s="17" t="inlineStr">
        <is>
          <t>India's strategic long-term agreement on Shahid Beheshti terminal at Chabahar unlocks sea-rail trade corridors connecting Mumbai to landlocked Afghanistan, Iran, and Central Asia via INSTC.</t>
        </is>
      </c>
      <c r="J33" s="17" t="inlineStr">
        <is>
          <t>Ministry of Ports / UPSC GS2</t>
        </is>
      </c>
      <c r="K33" s="14" t="inlineStr">
        <is>
          <t>day06-post5-chabahar-port-instc</t>
        </is>
      </c>
      <c r="L33" s="18" t="inlineStr">
        <is>
          <t>Planned</t>
        </is>
      </c>
      <c r="M33" s="14" t="inlineStr"/>
    </row>
    <row r="34" ht="52" customHeight="1">
      <c r="A34" s="4" t="n">
        <v>31</v>
      </c>
      <c r="B34" s="5" t="inlineStr">
        <is>
          <t>Day 07</t>
        </is>
      </c>
      <c r="C34" s="6" t="inlineStr">
        <is>
          <t>Post 1 of 5</t>
        </is>
      </c>
      <c r="D34" s="6" t="inlineStr">
        <is>
          <t>2026-10-12</t>
        </is>
      </c>
      <c r="E34" s="6" t="inlineStr">
        <is>
          <t>08:00 AM</t>
        </is>
      </c>
      <c r="F34" s="7" t="inlineStr">
        <is>
          <t>GS3</t>
        </is>
      </c>
      <c r="G34" s="6" t="inlineStr">
        <is>
          <t>Security &amp; Defense</t>
        </is>
      </c>
      <c r="H34" s="8" t="inlineStr">
        <is>
          <t>Operation Vijay 1999: Recapturing the heights of Kargil</t>
        </is>
      </c>
      <c r="I34" s="9" t="inlineStr">
        <is>
          <t>Braving sheer vertical cliffs and sub-zero temperatures, Indian troops and Mirage-2000 air strikes evicted entrenched Pakistani regular intruders from Tololing, Tiger Hill, and Point 4875.</t>
        </is>
      </c>
      <c r="J34" s="9" t="inlineStr">
        <is>
          <t>Armed Forces / UPSC GS3</t>
        </is>
      </c>
      <c r="K34" s="6" t="inlineStr">
        <is>
          <t>day07-post1-kargil-war-1999</t>
        </is>
      </c>
      <c r="L34" s="10" t="inlineStr">
        <is>
          <t>Planned</t>
        </is>
      </c>
      <c r="M34" s="6" t="inlineStr"/>
    </row>
    <row r="35" ht="52" customHeight="1">
      <c r="A35" s="4" t="n">
        <v>32</v>
      </c>
      <c r="B35" s="5" t="inlineStr">
        <is>
          <t>Day 07</t>
        </is>
      </c>
      <c r="C35" s="6" t="inlineStr">
        <is>
          <t>Post 2 of 5</t>
        </is>
      </c>
      <c r="D35" s="6" t="inlineStr">
        <is>
          <t>2026-10-12</t>
        </is>
      </c>
      <c r="E35" s="6" t="inlineStr">
        <is>
          <t>11:00 AM</t>
        </is>
      </c>
      <c r="F35" s="7" t="inlineStr">
        <is>
          <t>GS3</t>
        </is>
      </c>
      <c r="G35" s="6" t="inlineStr">
        <is>
          <t>Defense Strategy</t>
        </is>
      </c>
      <c r="H35" s="8" t="inlineStr">
        <is>
          <t>Operation Meghdoot: Securing Siachen at 20,000 feet</t>
        </is>
      </c>
      <c r="I35" s="9" t="inlineStr">
        <is>
          <t>In April 1984, the Kumaon Regiment executed pre-emptive heliborne landings on Bilafond La and Sia La, securing the 76-km Siachen Glacier and dominating Saltoro Ridge ever since.</t>
        </is>
      </c>
      <c r="J35" s="9" t="inlineStr">
        <is>
          <t>Army Headquarters / UPSC GS3</t>
        </is>
      </c>
      <c r="K35" s="6" t="inlineStr">
        <is>
          <t>day07-post2-operation-meghdoot-siachen</t>
        </is>
      </c>
      <c r="L35" s="10" t="inlineStr">
        <is>
          <t>Planned</t>
        </is>
      </c>
      <c r="M35" s="6" t="inlineStr"/>
    </row>
    <row r="36" ht="52" customHeight="1">
      <c r="A36" s="4" t="n">
        <v>33</v>
      </c>
      <c r="B36" s="5" t="inlineStr">
        <is>
          <t>Day 07</t>
        </is>
      </c>
      <c r="C36" s="6" t="inlineStr">
        <is>
          <t>Post 3 of 5</t>
        </is>
      </c>
      <c r="D36" s="6" t="inlineStr">
        <is>
          <t>2026-10-12</t>
        </is>
      </c>
      <c r="E36" s="6" t="inlineStr">
        <is>
          <t>02:00 PM</t>
        </is>
      </c>
      <c r="F36" s="11" t="inlineStr">
        <is>
          <t>GS2</t>
        </is>
      </c>
      <c r="G36" s="6" t="inlineStr">
        <is>
          <t>International Relations</t>
        </is>
      </c>
      <c r="H36" s="8" t="inlineStr">
        <is>
          <t>Non-Aligned Movement: India's Cold War diplomatic autonomy</t>
        </is>
      </c>
      <c r="I36" s="9" t="inlineStr">
        <is>
          <t>At Bandung and Belgrade, Jawaharlal Nehru joined Tito, Nasser, and Sukarno to forge NAM, rejecting superpower military alliances and championing decolonization and sovereign equality.</t>
        </is>
      </c>
      <c r="J36" s="9" t="inlineStr">
        <is>
          <t>MEA Archives / UPSC GS2</t>
        </is>
      </c>
      <c r="K36" s="6" t="inlineStr">
        <is>
          <t>day07-post3-non-aligned-movement</t>
        </is>
      </c>
      <c r="L36" s="10" t="inlineStr">
        <is>
          <t>Planned</t>
        </is>
      </c>
      <c r="M36" s="6" t="inlineStr"/>
    </row>
    <row r="37" ht="52" customHeight="1">
      <c r="A37" s="4" t="n">
        <v>34</v>
      </c>
      <c r="B37" s="5" t="inlineStr">
        <is>
          <t>Day 07</t>
        </is>
      </c>
      <c r="C37" s="6" t="inlineStr">
        <is>
          <t>Post 4 of 5</t>
        </is>
      </c>
      <c r="D37" s="6" t="inlineStr">
        <is>
          <t>2026-10-12</t>
        </is>
      </c>
      <c r="E37" s="6" t="inlineStr">
        <is>
          <t>05:00 PM</t>
        </is>
      </c>
      <c r="F37" s="7" t="inlineStr">
        <is>
          <t>GS3</t>
        </is>
      </c>
      <c r="G37" s="6" t="inlineStr">
        <is>
          <t>Maritime Security</t>
        </is>
      </c>
      <c r="H37" s="8" t="inlineStr">
        <is>
          <t>Project 75I: Securing underwater deterrence in the Indian Ocean</t>
        </is>
      </c>
      <c r="I37" s="9" t="inlineStr">
        <is>
          <t>Developing six advanced conventional submarines with Air Independent Propulsion (AIP) enables weeks of silent submerged patrols, safeguarding vital sea lines of communication.</t>
        </is>
      </c>
      <c r="J37" s="9" t="inlineStr">
        <is>
          <t>Indian Navy / UPSC GS3</t>
        </is>
      </c>
      <c r="K37" s="6" t="inlineStr">
        <is>
          <t>day07-post4-project-75i-submarines</t>
        </is>
      </c>
      <c r="L37" s="10" t="inlineStr">
        <is>
          <t>Planned</t>
        </is>
      </c>
      <c r="M37" s="6" t="inlineStr"/>
    </row>
    <row r="38" ht="52" customHeight="1">
      <c r="A38" s="4" t="n">
        <v>35</v>
      </c>
      <c r="B38" s="5" t="inlineStr">
        <is>
          <t>Day 07</t>
        </is>
      </c>
      <c r="C38" s="6" t="inlineStr">
        <is>
          <t>Post 5 of 5</t>
        </is>
      </c>
      <c r="D38" s="6" t="inlineStr">
        <is>
          <t>2026-10-12</t>
        </is>
      </c>
      <c r="E38" s="6" t="inlineStr">
        <is>
          <t>08:00 PM</t>
        </is>
      </c>
      <c r="F38" s="11" t="inlineStr">
        <is>
          <t>GS2</t>
        </is>
      </c>
      <c r="G38" s="6" t="inlineStr">
        <is>
          <t>Geopolitics &amp; Defense</t>
        </is>
      </c>
      <c r="H38" s="8" t="inlineStr">
        <is>
          <t>The Quad and Exercise Malabar: Indo-Pacific maritime balance</t>
        </is>
      </c>
      <c r="I38" s="9" t="inlineStr">
        <is>
          <t>Comprising India, the US, Japan, and Australia, the Quadrilateral Security Dialogue coordinates high-end naval exercises, undersea domain awareness, and maritime supply chain security.</t>
        </is>
      </c>
      <c r="J38" s="9" t="inlineStr">
        <is>
          <t>Naval Staff / UPSC GS2</t>
        </is>
      </c>
      <c r="K38" s="6" t="inlineStr">
        <is>
          <t>day07-post5-quad-malabar-exercises</t>
        </is>
      </c>
      <c r="L38" s="10" t="inlineStr">
        <is>
          <t>Planned</t>
        </is>
      </c>
      <c r="M38" s="6" t="inlineStr"/>
    </row>
    <row r="39" ht="52" customHeight="1">
      <c r="A39" s="12" t="n">
        <v>36</v>
      </c>
      <c r="B39" s="13" t="inlineStr">
        <is>
          <t>Day 08</t>
        </is>
      </c>
      <c r="C39" s="14" t="inlineStr">
        <is>
          <t>Post 1 of 5</t>
        </is>
      </c>
      <c r="D39" s="14" t="inlineStr">
        <is>
          <t>2026-10-13</t>
        </is>
      </c>
      <c r="E39" s="14" t="inlineStr">
        <is>
          <t>08:00 AM</t>
        </is>
      </c>
      <c r="F39" s="15" t="inlineStr">
        <is>
          <t>GS3</t>
        </is>
      </c>
      <c r="G39" s="14" t="inlineStr">
        <is>
          <t>Public Health &amp; Science</t>
        </is>
      </c>
      <c r="H39" s="16" t="inlineStr">
        <is>
          <t>Target Zero: How India eradicated smallpox in 1977</t>
        </is>
      </c>
      <c r="I39" s="17" t="inlineStr">
        <is>
          <t>Deploying 150,000 health workers in relentless house-to-house surveillance and ring vaccination, India overcame centuries of smallpox scourge, officially certified disease-free in 1977.</t>
        </is>
      </c>
      <c r="J39" s="17" t="inlineStr">
        <is>
          <t>Health Ministry &amp; WHO / UPSC GS3</t>
        </is>
      </c>
      <c r="K39" s="14" t="inlineStr">
        <is>
          <t>day08-post1-smallpox-eradication-1977</t>
        </is>
      </c>
      <c r="L39" s="18" t="inlineStr">
        <is>
          <t>Planned</t>
        </is>
      </c>
      <c r="M39" s="14" t="inlineStr"/>
    </row>
    <row r="40" ht="52" customHeight="1">
      <c r="A40" s="12" t="n">
        <v>37</v>
      </c>
      <c r="B40" s="13" t="inlineStr">
        <is>
          <t>Day 08</t>
        </is>
      </c>
      <c r="C40" s="14" t="inlineStr">
        <is>
          <t>Post 2 of 5</t>
        </is>
      </c>
      <c r="D40" s="14" t="inlineStr">
        <is>
          <t>2026-10-13</t>
        </is>
      </c>
      <c r="E40" s="14" t="inlineStr">
        <is>
          <t>11:00 AM</t>
        </is>
      </c>
      <c r="F40" s="20" t="inlineStr">
        <is>
          <t>GS2</t>
        </is>
      </c>
      <c r="G40" s="14" t="inlineStr">
        <is>
          <t>Health &amp; Governance</t>
        </is>
      </c>
      <c r="H40" s="16" t="inlineStr">
        <is>
          <t>Pulse Polio Programme: Delivering two drops of hope</t>
        </is>
      </c>
      <c r="I40" s="17" t="inlineStr">
        <is>
          <t>Launched in 1995, nationwide National Immunization Days vaccinated 170 million children simultaneously, driving wild poliovirus transmission to zero and earning WHO certification in 2014.</t>
        </is>
      </c>
      <c r="J40" s="17" t="inlineStr">
        <is>
          <t>MoHFW / UPSC GS2</t>
        </is>
      </c>
      <c r="K40" s="14" t="inlineStr">
        <is>
          <t>day08-post2-pulse-polio-campaign</t>
        </is>
      </c>
      <c r="L40" s="18" t="inlineStr">
        <is>
          <t>Planned</t>
        </is>
      </c>
      <c r="M40" s="14" t="inlineStr"/>
    </row>
    <row r="41" ht="52" customHeight="1">
      <c r="A41" s="12" t="n">
        <v>38</v>
      </c>
      <c r="B41" s="13" t="inlineStr">
        <is>
          <t>Day 08</t>
        </is>
      </c>
      <c r="C41" s="14" t="inlineStr">
        <is>
          <t>Post 3 of 5</t>
        </is>
      </c>
      <c r="D41" s="14" t="inlineStr">
        <is>
          <t>2026-10-13</t>
        </is>
      </c>
      <c r="E41" s="14" t="inlineStr">
        <is>
          <t>02:00 PM</t>
        </is>
      </c>
      <c r="F41" s="15" t="inlineStr">
        <is>
          <t>GS3</t>
        </is>
      </c>
      <c r="G41" s="14" t="inlineStr">
        <is>
          <t>Science, Health &amp; Economy</t>
        </is>
      </c>
      <c r="H41" s="16" t="inlineStr">
        <is>
          <t>India's pharmaceutical powerhouse: From generic drugs to Vaccine Maitri</t>
        </is>
      </c>
      <c r="I41" s="17" t="inlineStr">
        <is>
          <t>Accounting for 20 percent of global generic medicine exports and 60 percent of global vaccine supplies, Indian manufacturers supplied life-saving doses to over 100 developing nations.</t>
        </is>
      </c>
      <c r="J41" s="17" t="inlineStr">
        <is>
          <t>Department of Pharmaceuticals / UPSC GS3</t>
        </is>
      </c>
      <c r="K41" s="14" t="inlineStr">
        <is>
          <t>day08-post3-pharmacy-of-the-world</t>
        </is>
      </c>
      <c r="L41" s="18" t="inlineStr">
        <is>
          <t>Planned</t>
        </is>
      </c>
      <c r="M41" s="14" t="inlineStr"/>
    </row>
    <row r="42" ht="52" customHeight="1">
      <c r="A42" s="12" t="n">
        <v>39</v>
      </c>
      <c r="B42" s="13" t="inlineStr">
        <is>
          <t>Day 08</t>
        </is>
      </c>
      <c r="C42" s="14" t="inlineStr">
        <is>
          <t>Post 4 of 5</t>
        </is>
      </c>
      <c r="D42" s="14" t="inlineStr">
        <is>
          <t>2026-10-13</t>
        </is>
      </c>
      <c r="E42" s="14" t="inlineStr">
        <is>
          <t>05:00 PM</t>
        </is>
      </c>
      <c r="F42" s="19" t="inlineStr">
        <is>
          <t>GS1</t>
        </is>
      </c>
      <c r="G42" s="14" t="inlineStr">
        <is>
          <t>Modern Indian History</t>
        </is>
      </c>
      <c r="H42" s="16" t="inlineStr">
        <is>
          <t>The 1943 Bengal Famine: Wartime policy and starvation</t>
        </is>
      </c>
      <c r="I42" s="17" t="inlineStr">
        <is>
          <t>Denial policies, war inflation, and grain export priorities under colonial administration caused an estimated 3 million deaths, shaping India's post-independence obsession with food sovereignty.</t>
        </is>
      </c>
      <c r="J42" s="17" t="inlineStr">
        <is>
          <t>Colonial Records / UPSC GS1</t>
        </is>
      </c>
      <c r="K42" s="14" t="inlineStr">
        <is>
          <t>day08-post4-bengal-famine-1943</t>
        </is>
      </c>
      <c r="L42" s="18" t="inlineStr">
        <is>
          <t>Planned</t>
        </is>
      </c>
      <c r="M42" s="14" t="inlineStr"/>
    </row>
    <row r="43" ht="52" customHeight="1">
      <c r="A43" s="12" t="n">
        <v>40</v>
      </c>
      <c r="B43" s="13" t="inlineStr">
        <is>
          <t>Day 08</t>
        </is>
      </c>
      <c r="C43" s="14" t="inlineStr">
        <is>
          <t>Post 5 of 5</t>
        </is>
      </c>
      <c r="D43" s="14" t="inlineStr">
        <is>
          <t>2026-10-13</t>
        </is>
      </c>
      <c r="E43" s="14" t="inlineStr">
        <is>
          <t>08:00 PM</t>
        </is>
      </c>
      <c r="F43" s="20" t="inlineStr">
        <is>
          <t>GS2</t>
        </is>
      </c>
      <c r="G43" s="14" t="inlineStr">
        <is>
          <t>Constitution &amp; Rights</t>
        </is>
      </c>
      <c r="H43" s="16" t="inlineStr">
        <is>
          <t>Justice KS Puttaswamy: Declaring privacy a fundamental right</t>
        </is>
      </c>
      <c r="I43" s="17" t="inlineStr">
        <is>
          <t>A unanimous nine-judge Supreme Court bench declared the right to privacy an intrinsic part of the right to life and personal liberty under Article 21, establishing boundaries for state surveillance.</t>
        </is>
      </c>
      <c r="J43" s="17" t="inlineStr">
        <is>
          <t>Supreme Court / UPSC GS2</t>
        </is>
      </c>
      <c r="K43" s="14" t="inlineStr">
        <is>
          <t>day08-post5-puttaswamy-privacy-verdict</t>
        </is>
      </c>
      <c r="L43" s="18" t="inlineStr">
        <is>
          <t>Planned</t>
        </is>
      </c>
      <c r="M43" s="14" t="inlineStr"/>
    </row>
    <row r="44" ht="52" customHeight="1">
      <c r="A44" s="4" t="n">
        <v>41</v>
      </c>
      <c r="B44" s="5" t="inlineStr">
        <is>
          <t>Day 09</t>
        </is>
      </c>
      <c r="C44" s="6" t="inlineStr">
        <is>
          <t>Post 1 of 5</t>
        </is>
      </c>
      <c r="D44" s="6" t="inlineStr">
        <is>
          <t>2026-10-14</t>
        </is>
      </c>
      <c r="E44" s="6" t="inlineStr">
        <is>
          <t>08:00 AM</t>
        </is>
      </c>
      <c r="F44" s="7" t="inlineStr">
        <is>
          <t>GS3</t>
        </is>
      </c>
      <c r="G44" s="6" t="inlineStr">
        <is>
          <t>Energy &amp; Climate Change</t>
        </is>
      </c>
      <c r="H44" s="8" t="inlineStr">
        <is>
          <t>Bhadla Solar Park: Harvesting clean energy in the desert</t>
        </is>
      </c>
      <c r="I44" s="9" t="inlineStr">
        <is>
          <t>Spanning 14,000 acres in Rajasthan's Thar desert, Bhadla produces 2,245 MW of solar power, embodying India's pledge to install 500 GW of non-fossil electrical capacity by 2030.</t>
        </is>
      </c>
      <c r="J44" s="9" t="inlineStr">
        <is>
          <t>MNRE / UPSC GS3</t>
        </is>
      </c>
      <c r="K44" s="6" t="inlineStr">
        <is>
          <t>day09-post1-bhadla-solar-park</t>
        </is>
      </c>
      <c r="L44" s="10" t="inlineStr">
        <is>
          <t>Planned</t>
        </is>
      </c>
      <c r="M44" s="6" t="inlineStr"/>
    </row>
    <row r="45" ht="52" customHeight="1">
      <c r="A45" s="4" t="n">
        <v>42</v>
      </c>
      <c r="B45" s="5" t="inlineStr">
        <is>
          <t>Day 09</t>
        </is>
      </c>
      <c r="C45" s="6" t="inlineStr">
        <is>
          <t>Post 2 of 5</t>
        </is>
      </c>
      <c r="D45" s="6" t="inlineStr">
        <is>
          <t>2026-10-14</t>
        </is>
      </c>
      <c r="E45" s="6" t="inlineStr">
        <is>
          <t>11:00 AM</t>
        </is>
      </c>
      <c r="F45" s="7" t="inlineStr">
        <is>
          <t>GS3</t>
        </is>
      </c>
      <c r="G45" s="6" t="inlineStr">
        <is>
          <t>Wildlife &amp; Biodiversity</t>
        </is>
      </c>
      <c r="H45" s="8" t="inlineStr">
        <is>
          <t>Project Cheetah: Returning the world's fastest cat to India</t>
        </is>
      </c>
      <c r="I45" s="9" t="inlineStr">
        <is>
          <t>Declared extinct in India in 1952, African cheetahs translocated from Namibia and South Africa to Kuno National Park represent the world's first intercontinental large carnivore reintroduction.</t>
        </is>
      </c>
      <c r="J45" s="9" t="inlineStr">
        <is>
          <t>NTCA / UPSC GS3</t>
        </is>
      </c>
      <c r="K45" s="6" t="inlineStr">
        <is>
          <t>day09-post2-project-cheetah-kuno</t>
        </is>
      </c>
      <c r="L45" s="10" t="inlineStr">
        <is>
          <t>Planned</t>
        </is>
      </c>
      <c r="M45" s="6" t="inlineStr"/>
    </row>
    <row r="46" ht="52" customHeight="1">
      <c r="A46" s="4" t="n">
        <v>43</v>
      </c>
      <c r="B46" s="5" t="inlineStr">
        <is>
          <t>Day 09</t>
        </is>
      </c>
      <c r="C46" s="6" t="inlineStr">
        <is>
          <t>Post 3 of 5</t>
        </is>
      </c>
      <c r="D46" s="6" t="inlineStr">
        <is>
          <t>2026-10-14</t>
        </is>
      </c>
      <c r="E46" s="6" t="inlineStr">
        <is>
          <t>02:00 PM</t>
        </is>
      </c>
      <c r="F46" s="7" t="inlineStr">
        <is>
          <t>GS3</t>
        </is>
      </c>
      <c r="G46" s="6" t="inlineStr">
        <is>
          <t>Space Exploration</t>
        </is>
      </c>
      <c r="H46" s="8" t="inlineStr">
        <is>
          <t>Mission Gaganyaan: India's voyage to send astronauts to orbit</t>
        </is>
      </c>
      <c r="I46" s="9" t="inlineStr">
        <is>
          <t>ISRO's human-rated LVM3 rocket will carry Indian vyomanauts to a 400-km low Earth orbit for three days before a precision parachute splashdown in Arabian Sea waters.</t>
        </is>
      </c>
      <c r="J46" s="9" t="inlineStr">
        <is>
          <t>ISRO / UPSC GS3</t>
        </is>
      </c>
      <c r="K46" s="6" t="inlineStr">
        <is>
          <t>day09-post3-gaganyaan-human-spaceflight</t>
        </is>
      </c>
      <c r="L46" s="10" t="inlineStr">
        <is>
          <t>Planned</t>
        </is>
      </c>
      <c r="M46" s="6" t="inlineStr"/>
    </row>
    <row r="47" ht="52" customHeight="1">
      <c r="A47" s="4" t="n">
        <v>44</v>
      </c>
      <c r="B47" s="5" t="inlineStr">
        <is>
          <t>Day 09</t>
        </is>
      </c>
      <c r="C47" s="6" t="inlineStr">
        <is>
          <t>Post 4 of 5</t>
        </is>
      </c>
      <c r="D47" s="6" t="inlineStr">
        <is>
          <t>2026-10-14</t>
        </is>
      </c>
      <c r="E47" s="6" t="inlineStr">
        <is>
          <t>05:00 PM</t>
        </is>
      </c>
      <c r="F47" s="21" t="inlineStr">
        <is>
          <t>GS1</t>
        </is>
      </c>
      <c r="G47" s="6" t="inlineStr">
        <is>
          <t>Ancient History &amp; Culture</t>
        </is>
      </c>
      <c r="H47" s="8" t="inlineStr">
        <is>
          <t>1921 Discovery of Harappa: Unearthing 5,000 years of urban planning</t>
        </is>
      </c>
      <c r="I47" s="9" t="inlineStr">
        <is>
          <t>Excavations by Daya Ram Sahni and Rakhaldas Banerjee pushed Indian antiquity back two millennia, revealing grid street planning, subterranean drainage, and vast granaries.</t>
        </is>
      </c>
      <c r="J47" s="9" t="inlineStr">
        <is>
          <t>ASI / UPSC GS1</t>
        </is>
      </c>
      <c r="K47" s="6" t="inlineStr">
        <is>
          <t>day09-post4-indus-valley-civilization-1921</t>
        </is>
      </c>
      <c r="L47" s="10" t="inlineStr">
        <is>
          <t>Planned</t>
        </is>
      </c>
      <c r="M47" s="6" t="inlineStr"/>
    </row>
    <row r="48" ht="52" customHeight="1">
      <c r="A48" s="4" t="n">
        <v>45</v>
      </c>
      <c r="B48" s="5" t="inlineStr">
        <is>
          <t>Day 09</t>
        </is>
      </c>
      <c r="C48" s="6" t="inlineStr">
        <is>
          <t>Post 5 of 5</t>
        </is>
      </c>
      <c r="D48" s="6" t="inlineStr">
        <is>
          <t>2026-10-14</t>
        </is>
      </c>
      <c r="E48" s="6" t="inlineStr">
        <is>
          <t>08:00 PM</t>
        </is>
      </c>
      <c r="F48" s="11" t="inlineStr">
        <is>
          <t>GS2</t>
        </is>
      </c>
      <c r="G48" s="6" t="inlineStr">
        <is>
          <t>Border Security &amp; IR</t>
        </is>
      </c>
      <c r="H48" s="8" t="inlineStr">
        <is>
          <t>Doklam Standoff 2017: Standing resolute at the trijunction</t>
        </is>
      </c>
      <c r="I48" s="9" t="inlineStr">
        <is>
          <t>For 73 days, Indian and Chinese soldiers maintained eyeball-to-eyeball standoff on the Doklam plateau, stopping unauthorized road construction near the vulnerable Siliguri Corridor.</t>
        </is>
      </c>
      <c r="J48" s="9" t="inlineStr">
        <is>
          <t>Strategic Studies / UPSC GS2</t>
        </is>
      </c>
      <c r="K48" s="6" t="inlineStr">
        <is>
          <t>day09-post5-doklam-standoff-2017</t>
        </is>
      </c>
      <c r="L48" s="10" t="inlineStr">
        <is>
          <t>Planned</t>
        </is>
      </c>
      <c r="M48" s="6" t="inlineStr"/>
    </row>
    <row r="49" ht="52" customHeight="1">
      <c r="A49" s="12" t="n">
        <v>46</v>
      </c>
      <c r="B49" s="13" t="inlineStr">
        <is>
          <t>Day 10</t>
        </is>
      </c>
      <c r="C49" s="14" t="inlineStr">
        <is>
          <t>Post 1 of 5</t>
        </is>
      </c>
      <c r="D49" s="14" t="inlineStr">
        <is>
          <t>2026-10-15</t>
        </is>
      </c>
      <c r="E49" s="14" t="inlineStr">
        <is>
          <t>08:00 AM</t>
        </is>
      </c>
      <c r="F49" s="20" t="inlineStr">
        <is>
          <t>GS2</t>
        </is>
      </c>
      <c r="G49" s="14" t="inlineStr">
        <is>
          <t>Ethics &amp; Governance</t>
        </is>
      </c>
      <c r="H49" s="16" t="inlineStr">
        <is>
          <t>TN Seshan: The Chief Election Commissioner who curbed electoral malpractices</t>
        </is>
      </c>
      <c r="I49" s="17" t="inlineStr">
        <is>
          <t>Enforcing the Model Code of Conduct, voter ID cards, and strict campaign expenditure limits, TN Seshan ended rampant booth capturing and established the Election Commission's fierce autonomy.</t>
        </is>
      </c>
      <c r="J49" s="17" t="inlineStr">
        <is>
          <t>Election Commission / UPSC GS4 &amp; GS2</t>
        </is>
      </c>
      <c r="K49" s="14" t="inlineStr">
        <is>
          <t>day10-post1-tn-seshan-election-reforms</t>
        </is>
      </c>
      <c r="L49" s="18" t="inlineStr">
        <is>
          <t>Planned</t>
        </is>
      </c>
      <c r="M49" s="14" t="inlineStr"/>
    </row>
    <row r="50" ht="52" customHeight="1">
      <c r="A50" s="12" t="n">
        <v>47</v>
      </c>
      <c r="B50" s="13" t="inlineStr">
        <is>
          <t>Day 10</t>
        </is>
      </c>
      <c r="C50" s="14" t="inlineStr">
        <is>
          <t>Post 2 of 5</t>
        </is>
      </c>
      <c r="D50" s="14" t="inlineStr">
        <is>
          <t>2026-10-15</t>
        </is>
      </c>
      <c r="E50" s="14" t="inlineStr">
        <is>
          <t>11:00 AM</t>
        </is>
      </c>
      <c r="F50" s="19" t="inlineStr">
        <is>
          <t>GS1</t>
        </is>
      </c>
      <c r="G50" s="14" t="inlineStr">
        <is>
          <t>Freedom Struggle &amp; Culture</t>
        </is>
      </c>
      <c r="H50" s="16" t="inlineStr">
        <is>
          <t>Rani Gaidinliu: The spiritual leader who resisted British rule</t>
        </is>
      </c>
      <c r="I50" s="17" t="inlineStr">
        <is>
          <t>Leading the Heraka movement at age 16 in Manipur and Nagaland, Gaidinliu resisted British taxation and missionary dominance, spending 14 years imprisoned until Independence in 1947.</t>
        </is>
      </c>
      <c r="J50" s="17" t="inlineStr">
        <is>
          <t>National Archives / UPSC GS1</t>
        </is>
      </c>
      <c r="K50" s="14" t="inlineStr">
        <is>
          <t>day10-post2-rani-gaidinliu-naga</t>
        </is>
      </c>
      <c r="L50" s="18" t="inlineStr">
        <is>
          <t>Planned</t>
        </is>
      </c>
      <c r="M50" s="14" t="inlineStr"/>
    </row>
    <row r="51" ht="52" customHeight="1">
      <c r="A51" s="12" t="n">
        <v>48</v>
      </c>
      <c r="B51" s="13" t="inlineStr">
        <is>
          <t>Day 10</t>
        </is>
      </c>
      <c r="C51" s="14" t="inlineStr">
        <is>
          <t>Post 3 of 5</t>
        </is>
      </c>
      <c r="D51" s="14" t="inlineStr">
        <is>
          <t>2026-10-15</t>
        </is>
      </c>
      <c r="E51" s="14" t="inlineStr">
        <is>
          <t>02:00 PM</t>
        </is>
      </c>
      <c r="F51" s="20" t="inlineStr">
        <is>
          <t>GS2</t>
        </is>
      </c>
      <c r="G51" s="14" t="inlineStr">
        <is>
          <t>Governance &amp; Local Bodies</t>
        </is>
      </c>
      <c r="H51" s="16" t="inlineStr">
        <is>
          <t>73rd and 74th Amendments: Decentralizing power to local self-governments</t>
        </is>
      </c>
      <c r="I51" s="17" t="inlineStr">
        <is>
          <t>Passed in 1992, the amendments gave constitutional status to Panchayats and Municipalities, reserving one-third of seats for women and institutionalizing grassroots democracy.</t>
        </is>
      </c>
      <c r="J51" s="17" t="inlineStr">
        <is>
          <t>Ministry of Panchayati Raj / UPSC GS2</t>
        </is>
      </c>
      <c r="K51" s="14" t="inlineStr">
        <is>
          <t>day10-post3-panchayati-raj-73rd-amendment</t>
        </is>
      </c>
      <c r="L51" s="18" t="inlineStr">
        <is>
          <t>Planned</t>
        </is>
      </c>
      <c r="M51" s="14" t="inlineStr"/>
    </row>
    <row r="52" ht="52" customHeight="1">
      <c r="A52" s="12" t="n">
        <v>49</v>
      </c>
      <c r="B52" s="13" t="inlineStr">
        <is>
          <t>Day 10</t>
        </is>
      </c>
      <c r="C52" s="14" t="inlineStr">
        <is>
          <t>Post 4 of 5</t>
        </is>
      </c>
      <c r="D52" s="14" t="inlineStr">
        <is>
          <t>2026-10-15</t>
        </is>
      </c>
      <c r="E52" s="14" t="inlineStr">
        <is>
          <t>05:00 PM</t>
        </is>
      </c>
      <c r="F52" s="15" t="inlineStr">
        <is>
          <t>GS3</t>
        </is>
      </c>
      <c r="G52" s="14" t="inlineStr">
        <is>
          <t>Agriculture &amp; Sci-Tech</t>
        </is>
      </c>
      <c r="H52" s="16" t="inlineStr">
        <is>
          <t>Dr. MS Swaminathan and the Green Revolution in India</t>
        </is>
      </c>
      <c r="I52" s="17" t="inlineStr">
        <is>
          <t>Introducing semi-dwarf high-yielding Mexican wheat varieties in Punjab and Haryana, agricultural scientist MS Swaminathan turned India from a ship-to-mouth nation into a food-surplus grain exporter.</t>
        </is>
      </c>
      <c r="J52" s="17" t="inlineStr">
        <is>
          <t>ICAR / UPSC GS3</t>
        </is>
      </c>
      <c r="K52" s="14" t="inlineStr">
        <is>
          <t>day10-post4-green-revolution-swaminathan</t>
        </is>
      </c>
      <c r="L52" s="18" t="inlineStr">
        <is>
          <t>Planned</t>
        </is>
      </c>
      <c r="M52" s="14" t="inlineStr"/>
    </row>
    <row r="53" ht="52" customHeight="1">
      <c r="A53" s="12" t="n">
        <v>50</v>
      </c>
      <c r="B53" s="13" t="inlineStr">
        <is>
          <t>Day 10</t>
        </is>
      </c>
      <c r="C53" s="14" t="inlineStr">
        <is>
          <t>Post 5 of 5</t>
        </is>
      </c>
      <c r="D53" s="14" t="inlineStr">
        <is>
          <t>2026-10-15</t>
        </is>
      </c>
      <c r="E53" s="14" t="inlineStr">
        <is>
          <t>08:00 PM</t>
        </is>
      </c>
      <c r="F53" s="20" t="inlineStr">
        <is>
          <t>GS2</t>
        </is>
      </c>
      <c r="G53" s="14" t="inlineStr">
        <is>
          <t>Defense, IR &amp; Strategy</t>
        </is>
      </c>
      <c r="H53" s="16" t="inlineStr">
        <is>
          <t>Pokhran-II 1998: Operation Shakti and enduring global sanctions</t>
        </is>
      </c>
      <c r="I53" s="17" t="inlineStr">
        <is>
          <t>Under Atal Bihari Vajpayee, India conducted five underground nuclear tests in May 1998, weathering US economic sanctions to establish credible minimum nuclear deterrence and No First Use doctrine.</t>
        </is>
      </c>
      <c r="J53" s="17" t="inlineStr">
        <is>
          <t>Strategic Archives / UPSC GS2</t>
        </is>
      </c>
      <c r="K53" s="14" t="inlineStr">
        <is>
          <t>day10-post5-pokhran-2-sanctions-1998</t>
        </is>
      </c>
      <c r="L53" s="18" t="inlineStr">
        <is>
          <t>Planned</t>
        </is>
      </c>
      <c r="M53" s="14" t="inlineStr"/>
    </row>
    <row r="54" ht="52" customHeight="1">
      <c r="A54" s="4" t="n">
        <v>51</v>
      </c>
      <c r="B54" s="5" t="inlineStr">
        <is>
          <t>Day 11</t>
        </is>
      </c>
      <c r="C54" s="6" t="inlineStr">
        <is>
          <t>Post 1 of 5</t>
        </is>
      </c>
      <c r="D54" s="6" t="inlineStr">
        <is>
          <t>2026-10-16</t>
        </is>
      </c>
      <c r="E54" s="6" t="inlineStr">
        <is>
          <t>08:00 AM</t>
        </is>
      </c>
      <c r="F54" s="21" t="inlineStr">
        <is>
          <t>GS1</t>
        </is>
      </c>
      <c r="G54" s="6" t="inlineStr">
        <is>
          <t>Art &amp; Culture</t>
        </is>
      </c>
      <c r="H54" s="8" t="inlineStr">
        <is>
          <t>Chhatrapati Shivaji Maharaj's Maratha Military Forts &amp; UNESCO World Heritage</t>
        </is>
      </c>
      <c r="I54" s="9" t="inlineStr">
        <is>
          <t>Showcasing guerilla warfare geography across the Sahyadri ranges, 12 forts including Raigad and Shivneri reflect advanced hill-fortification and naval defense strategies.</t>
        </is>
      </c>
      <c r="J54" s="9" t="inlineStr">
        <is>
          <t>ASI / Ministry of Culture / GS1</t>
        </is>
      </c>
      <c r="K54" s="6" t="inlineStr">
        <is>
          <t>day11-post1-chhatrapati-shivaji-maharajs-maratha-military</t>
        </is>
      </c>
      <c r="L54" s="10" t="inlineStr">
        <is>
          <t>Planned</t>
        </is>
      </c>
      <c r="M54" s="6" t="inlineStr"/>
    </row>
    <row r="55" ht="52" customHeight="1">
      <c r="A55" s="4" t="n">
        <v>52</v>
      </c>
      <c r="B55" s="5" t="inlineStr">
        <is>
          <t>Day 11</t>
        </is>
      </c>
      <c r="C55" s="6" t="inlineStr">
        <is>
          <t>Post 2 of 5</t>
        </is>
      </c>
      <c r="D55" s="6" t="inlineStr">
        <is>
          <t>2026-10-16</t>
        </is>
      </c>
      <c r="E55" s="6" t="inlineStr">
        <is>
          <t>11:00 AM</t>
        </is>
      </c>
      <c r="F55" s="11" t="inlineStr">
        <is>
          <t>GS2</t>
        </is>
      </c>
      <c r="G55" s="6" t="inlineStr">
        <is>
          <t>Polity &amp; Constitution</t>
        </is>
      </c>
      <c r="H55" s="8" t="inlineStr">
        <is>
          <t>Delimitation Commission and Article 82: Population vs Representation Debate</t>
        </is>
      </c>
      <c r="I55" s="9" t="inlineStr">
        <is>
          <t>Delimitation redraws parliamentary constituency boundaries based on the latest census. Freezing seats until the post-2026 census addresses federal balance between growing and family-planning states.</t>
        </is>
      </c>
      <c r="J55" s="9" t="inlineStr">
        <is>
          <t>Election Commission of India / Law Ministry / GS2</t>
        </is>
      </c>
      <c r="K55" s="6" t="inlineStr">
        <is>
          <t>day11-post2-delimitation-commission-and-article-82</t>
        </is>
      </c>
      <c r="L55" s="10" t="inlineStr">
        <is>
          <t>Planned</t>
        </is>
      </c>
      <c r="M55" s="6" t="inlineStr"/>
    </row>
    <row r="56" ht="52" customHeight="1">
      <c r="A56" s="4" t="n">
        <v>53</v>
      </c>
      <c r="B56" s="5" t="inlineStr">
        <is>
          <t>Day 11</t>
        </is>
      </c>
      <c r="C56" s="6" t="inlineStr">
        <is>
          <t>Post 3 of 5</t>
        </is>
      </c>
      <c r="D56" s="6" t="inlineStr">
        <is>
          <t>2026-10-16</t>
        </is>
      </c>
      <c r="E56" s="6" t="inlineStr">
        <is>
          <t>02:00 PM</t>
        </is>
      </c>
      <c r="F56" s="7" t="inlineStr">
        <is>
          <t>GS3</t>
        </is>
      </c>
      <c r="G56" s="6" t="inlineStr">
        <is>
          <t>Economy &amp; Industry</t>
        </is>
      </c>
      <c r="H56" s="8" t="inlineStr">
        <is>
          <t>PM-MITRA Mega Textile Parks: Integrated World-Class Supply Chains</t>
        </is>
      </c>
      <c r="I56" s="9" t="inlineStr">
        <is>
          <t>Setting up 7 plug-and-play textile mega parks with world-class logistics to boost FDI, scale value-addition from farm to fashion, and rival global manufacturing hubs.</t>
        </is>
      </c>
      <c r="J56" s="9" t="inlineStr">
        <is>
          <t>Ministry of Textiles / PIB / GS3</t>
        </is>
      </c>
      <c r="K56" s="6" t="inlineStr">
        <is>
          <t>day11-post3-pmmitra-mega-textile-parks-integrated</t>
        </is>
      </c>
      <c r="L56" s="10" t="inlineStr">
        <is>
          <t>Planned</t>
        </is>
      </c>
      <c r="M56" s="6" t="inlineStr"/>
    </row>
    <row r="57" ht="52" customHeight="1">
      <c r="A57" s="4" t="n">
        <v>54</v>
      </c>
      <c r="B57" s="5" t="inlineStr">
        <is>
          <t>Day 11</t>
        </is>
      </c>
      <c r="C57" s="6" t="inlineStr">
        <is>
          <t>Post 4 of 5</t>
        </is>
      </c>
      <c r="D57" s="6" t="inlineStr">
        <is>
          <t>2026-10-16</t>
        </is>
      </c>
      <c r="E57" s="6" t="inlineStr">
        <is>
          <t>05:00 PM</t>
        </is>
      </c>
      <c r="F57" s="7" t="inlineStr">
        <is>
          <t>GS3</t>
        </is>
      </c>
      <c r="G57" s="6" t="inlineStr">
        <is>
          <t>Environment &amp; Ecology</t>
        </is>
      </c>
      <c r="H57" s="8" t="inlineStr">
        <is>
          <t>Project Great Indian Bustard: Supreme Court Right to Clean Climate Landmark</t>
        </is>
      </c>
      <c r="I57" s="9" t="inlineStr">
        <is>
          <t>In MK Ranjitsinh v. Union of India, the Supreme Court recognized the constitutional right to be free from adverse climate impacts while balancing renewable energy lines with GIB protection.</t>
        </is>
      </c>
      <c r="J57" s="9" t="inlineStr">
        <is>
          <t>Supreme Court of India / MoEFCC / GS3</t>
        </is>
      </c>
      <c r="K57" s="6" t="inlineStr">
        <is>
          <t>day11-post4-project-great-indian-bustard-supreme</t>
        </is>
      </c>
      <c r="L57" s="10" t="inlineStr">
        <is>
          <t>Planned</t>
        </is>
      </c>
      <c r="M57" s="6" t="inlineStr"/>
    </row>
    <row r="58" ht="52" customHeight="1">
      <c r="A58" s="4" t="n">
        <v>55</v>
      </c>
      <c r="B58" s="5" t="inlineStr">
        <is>
          <t>Day 11</t>
        </is>
      </c>
      <c r="C58" s="6" t="inlineStr">
        <is>
          <t>Post 5 of 5</t>
        </is>
      </c>
      <c r="D58" s="6" t="inlineStr">
        <is>
          <t>2026-10-16</t>
        </is>
      </c>
      <c r="E58" s="6" t="inlineStr">
        <is>
          <t>08:00 PM</t>
        </is>
      </c>
      <c r="F58" s="22" t="inlineStr">
        <is>
          <t>GS4</t>
        </is>
      </c>
      <c r="G58" s="6" t="inlineStr">
        <is>
          <t>Ethics &amp; Technology</t>
        </is>
      </c>
      <c r="H58" s="8" t="inlineStr">
        <is>
          <t>Ethical Dilemmas in Automated Law Enforcement and Facial Recognition</t>
        </is>
      </c>
      <c r="I58" s="9" t="inlineStr">
        <is>
          <t>Balancing algorithmic predictive policing against privacy, false-positive biases on marginalized groups, and the lack of algorithmic accountability under administrative law.</t>
        </is>
      </c>
      <c r="J58" s="9" t="inlineStr">
        <is>
          <t>DoPT / NITI Aayog Case Study / GS4</t>
        </is>
      </c>
      <c r="K58" s="6" t="inlineStr">
        <is>
          <t>day11-post5-ethical-dilemmas-in-automated-law</t>
        </is>
      </c>
      <c r="L58" s="10" t="inlineStr">
        <is>
          <t>Planned</t>
        </is>
      </c>
      <c r="M58" s="6" t="inlineStr"/>
    </row>
    <row r="59" ht="52" customHeight="1">
      <c r="A59" s="12" t="n">
        <v>56</v>
      </c>
      <c r="B59" s="13" t="inlineStr">
        <is>
          <t>Day 12</t>
        </is>
      </c>
      <c r="C59" s="14" t="inlineStr">
        <is>
          <t>Post 1 of 5</t>
        </is>
      </c>
      <c r="D59" s="14" t="inlineStr">
        <is>
          <t>2026-10-17</t>
        </is>
      </c>
      <c r="E59" s="14" t="inlineStr">
        <is>
          <t>08:00 AM</t>
        </is>
      </c>
      <c r="F59" s="19" t="inlineStr">
        <is>
          <t>GS1</t>
        </is>
      </c>
      <c r="G59" s="14" t="inlineStr">
        <is>
          <t>Ancient History</t>
        </is>
      </c>
      <c r="H59" s="16" t="inlineStr">
        <is>
          <t>Dholavira Water Management: Ancient Harappan Hydraulic Engineering</t>
        </is>
      </c>
      <c r="I59" s="17" t="inlineStr">
        <is>
          <t>Excavations in the Rann of Kutch reveal a sophisticated cascade of stepped reservoirs, bunds, and storm-water drains, proving arid-zone urban resilience in 2500 BCE.</t>
        </is>
      </c>
      <c r="J59" s="17" t="inlineStr">
        <is>
          <t>Archaeological Survey of India / UNESCO / GS1</t>
        </is>
      </c>
      <c r="K59" s="14" t="inlineStr">
        <is>
          <t>day12-post1-dholavira-water-management-ancient-harappan</t>
        </is>
      </c>
      <c r="L59" s="18" t="inlineStr">
        <is>
          <t>Planned</t>
        </is>
      </c>
      <c r="M59" s="14" t="inlineStr"/>
    </row>
    <row r="60" ht="52" customHeight="1">
      <c r="A60" s="12" t="n">
        <v>57</v>
      </c>
      <c r="B60" s="13" t="inlineStr">
        <is>
          <t>Day 12</t>
        </is>
      </c>
      <c r="C60" s="14" t="inlineStr">
        <is>
          <t>Post 2 of 5</t>
        </is>
      </c>
      <c r="D60" s="14" t="inlineStr">
        <is>
          <t>2026-10-17</t>
        </is>
      </c>
      <c r="E60" s="14" t="inlineStr">
        <is>
          <t>11:00 AM</t>
        </is>
      </c>
      <c r="F60" s="20" t="inlineStr">
        <is>
          <t>GS2</t>
        </is>
      </c>
      <c r="G60" s="14" t="inlineStr">
        <is>
          <t>Governance &amp; Justice</t>
        </is>
      </c>
      <c r="H60" s="16" t="inlineStr">
        <is>
          <t>Bharatiya Nyaya Sanhita (BNS): Reforming Colonial Criminal Jurisprudence</t>
        </is>
      </c>
      <c r="I60" s="17" t="inlineStr">
        <is>
          <t>Replacing the 1860 Indian Penal Code, BNS introduces community service punishments, precise terrorism definitions, electronic evidence admissibility, and gender-neutral cruelty provisions.</t>
        </is>
      </c>
      <c r="J60" s="17" t="inlineStr">
        <is>
          <t>Ministry of Home Affairs / Official Gazette / GS2</t>
        </is>
      </c>
      <c r="K60" s="14" t="inlineStr">
        <is>
          <t>day12-post2-bharatiya-nyaya-sanhita-bns-reforming</t>
        </is>
      </c>
      <c r="L60" s="18" t="inlineStr">
        <is>
          <t>Planned</t>
        </is>
      </c>
      <c r="M60" s="14" t="inlineStr"/>
    </row>
    <row r="61" ht="52" customHeight="1">
      <c r="A61" s="12" t="n">
        <v>58</v>
      </c>
      <c r="B61" s="13" t="inlineStr">
        <is>
          <t>Day 12</t>
        </is>
      </c>
      <c r="C61" s="14" t="inlineStr">
        <is>
          <t>Post 3 of 5</t>
        </is>
      </c>
      <c r="D61" s="14" t="inlineStr">
        <is>
          <t>2026-10-17</t>
        </is>
      </c>
      <c r="E61" s="14" t="inlineStr">
        <is>
          <t>02:00 PM</t>
        </is>
      </c>
      <c r="F61" s="15" t="inlineStr">
        <is>
          <t>GS3</t>
        </is>
      </c>
      <c r="G61" s="14" t="inlineStr">
        <is>
          <t>Science &amp; Industry</t>
        </is>
      </c>
      <c r="H61" s="16" t="inlineStr">
        <is>
          <t>India Semiconductor Mission: Silicon Fabs and ATMP Packaging in Dholera</t>
        </is>
      </c>
      <c r="I61" s="17" t="inlineStr">
        <is>
          <t>With ₹76,000 crore incentive framework, ISM anchors domestic semiconductor manufacturing, OSAT testing, and chip design to eliminate critical supply chain vulnerabilities.</t>
        </is>
      </c>
      <c r="J61" s="17" t="inlineStr">
        <is>
          <t>MeitY / PIB Press Release / GS3</t>
        </is>
      </c>
      <c r="K61" s="14" t="inlineStr">
        <is>
          <t>day12-post3-india-semiconductor-mission-silicon-fabs</t>
        </is>
      </c>
      <c r="L61" s="18" t="inlineStr">
        <is>
          <t>Planned</t>
        </is>
      </c>
      <c r="M61" s="14" t="inlineStr"/>
    </row>
    <row r="62" ht="52" customHeight="1">
      <c r="A62" s="12" t="n">
        <v>59</v>
      </c>
      <c r="B62" s="13" t="inlineStr">
        <is>
          <t>Day 12</t>
        </is>
      </c>
      <c r="C62" s="14" t="inlineStr">
        <is>
          <t>Post 4 of 5</t>
        </is>
      </c>
      <c r="D62" s="14" t="inlineStr">
        <is>
          <t>2026-10-17</t>
        </is>
      </c>
      <c r="E62" s="14" t="inlineStr">
        <is>
          <t>05:00 PM</t>
        </is>
      </c>
      <c r="F62" s="15" t="inlineStr">
        <is>
          <t>GS3</t>
        </is>
      </c>
      <c r="G62" s="14" t="inlineStr">
        <is>
          <t>Science &amp; Oceans</t>
        </is>
      </c>
      <c r="H62" s="16" t="inlineStr">
        <is>
          <t>Samudrayaan &amp; Deep Ocean Mission: Matsya 6000 Submersible Exploration</t>
        </is>
      </c>
      <c r="I62" s="17" t="inlineStr">
        <is>
          <t>Indigenous crewed submersible Matsya 6000 explores 6,000-meter deep seabed for polymetallic nodules, cobalt crusts, and benthic biodiversity, advancing India's Blue Economy.</t>
        </is>
      </c>
      <c r="J62" s="17" t="inlineStr">
        <is>
          <t>Ministry of Earth Sciences / NIOT / GS3</t>
        </is>
      </c>
      <c r="K62" s="14" t="inlineStr">
        <is>
          <t>day12-post4-samudrayaan-deep-ocean-mission-matsya</t>
        </is>
      </c>
      <c r="L62" s="18" t="inlineStr">
        <is>
          <t>Planned</t>
        </is>
      </c>
      <c r="M62" s="14" t="inlineStr"/>
    </row>
    <row r="63" ht="52" customHeight="1">
      <c r="A63" s="12" t="n">
        <v>60</v>
      </c>
      <c r="B63" s="13" t="inlineStr">
        <is>
          <t>Day 12</t>
        </is>
      </c>
      <c r="C63" s="14" t="inlineStr">
        <is>
          <t>Post 5 of 5</t>
        </is>
      </c>
      <c r="D63" s="14" t="inlineStr">
        <is>
          <t>2026-10-17</t>
        </is>
      </c>
      <c r="E63" s="14" t="inlineStr">
        <is>
          <t>08:00 PM</t>
        </is>
      </c>
      <c r="F63" s="20" t="inlineStr">
        <is>
          <t>GS2</t>
        </is>
      </c>
      <c r="G63" s="14" t="inlineStr">
        <is>
          <t>International Relations</t>
        </is>
      </c>
      <c r="H63" s="16" t="inlineStr">
        <is>
          <t>India-Middle East-Europe Economic Corridor (IMEEC): Maritime-Rail Pivot</t>
        </is>
      </c>
      <c r="I63" s="17" t="inlineStr">
        <is>
          <t>Launched at the G20 New Delhi Summit, IMEEC integrates ship-to-rail transit networks connecting India, UAE, Saudi Arabia, Jordan, Israel, and Europe as a sustainable trade artery.</t>
        </is>
      </c>
      <c r="J63" s="17" t="inlineStr">
        <is>
          <t>Ministry of External Affairs / G20 Secretariat / GS2</t>
        </is>
      </c>
      <c r="K63" s="14" t="inlineStr">
        <is>
          <t>day12-post5-indiamiddle-easteurope-economic-corridor-imeec</t>
        </is>
      </c>
      <c r="L63" s="18" t="inlineStr">
        <is>
          <t>Planned</t>
        </is>
      </c>
      <c r="M63" s="14" t="inlineStr"/>
    </row>
    <row r="64" ht="52" customHeight="1">
      <c r="A64" s="4" t="n">
        <v>61</v>
      </c>
      <c r="B64" s="5" t="inlineStr">
        <is>
          <t>Day 13</t>
        </is>
      </c>
      <c r="C64" s="6" t="inlineStr">
        <is>
          <t>Post 1 of 5</t>
        </is>
      </c>
      <c r="D64" s="6" t="inlineStr">
        <is>
          <t>2026-10-18</t>
        </is>
      </c>
      <c r="E64" s="6" t="inlineStr">
        <is>
          <t>08:00 AM</t>
        </is>
      </c>
      <c r="F64" s="21" t="inlineStr">
        <is>
          <t>GS1</t>
        </is>
      </c>
      <c r="G64" s="6" t="inlineStr">
        <is>
          <t>Modern History</t>
        </is>
      </c>
      <c r="H64" s="8" t="inlineStr">
        <is>
          <t>Birsa Munda and the Ulgulan: Tribal Resistance and Land Autonomy</t>
        </is>
      </c>
      <c r="I64" s="9" t="inlineStr">
        <is>
          <t>Birsa Munda's 1899-1900 rebellion against British colonial exploitation and the Thikadars led to the Chotanagpur Tenancy Act 1908, safeguarding Adivasi land rights.</t>
        </is>
      </c>
      <c r="J64" s="9" t="inlineStr">
        <is>
          <t>Ministry of Tribal Affairs / National Archives / GS1</t>
        </is>
      </c>
      <c r="K64" s="6" t="inlineStr">
        <is>
          <t>day13-post1-birsa-munda-and-the-ulgulan</t>
        </is>
      </c>
      <c r="L64" s="10" t="inlineStr">
        <is>
          <t>Planned</t>
        </is>
      </c>
      <c r="M64" s="6" t="inlineStr"/>
    </row>
    <row r="65" ht="52" customHeight="1">
      <c r="A65" s="4" t="n">
        <v>62</v>
      </c>
      <c r="B65" s="5" t="inlineStr">
        <is>
          <t>Day 13</t>
        </is>
      </c>
      <c r="C65" s="6" t="inlineStr">
        <is>
          <t>Post 2 of 5</t>
        </is>
      </c>
      <c r="D65" s="6" t="inlineStr">
        <is>
          <t>2026-10-18</t>
        </is>
      </c>
      <c r="E65" s="6" t="inlineStr">
        <is>
          <t>11:00 AM</t>
        </is>
      </c>
      <c r="F65" s="11" t="inlineStr">
        <is>
          <t>GS2</t>
        </is>
      </c>
      <c r="G65" s="6" t="inlineStr">
        <is>
          <t>Governance &amp; Digital Rights</t>
        </is>
      </c>
      <c r="H65" s="8" t="inlineStr">
        <is>
          <t>Digital Personal Data Protection (DPDP) Act 2023: Privacy Architecture</t>
        </is>
      </c>
      <c r="I65" s="9" t="inlineStr">
        <is>
          <t>Enshrining the Puttaswamy privacy doctrine, the Act establishes Data Fiduciaries, Data Protection Board, consent requirements, and heavy penalties for unauthorized data breaches.</t>
        </is>
      </c>
      <c r="J65" s="9" t="inlineStr">
        <is>
          <t>MeitY / Ministry of Law / GS2</t>
        </is>
      </c>
      <c r="K65" s="6" t="inlineStr">
        <is>
          <t>day13-post2-digital-personal-data-protection-dpdp</t>
        </is>
      </c>
      <c r="L65" s="10" t="inlineStr">
        <is>
          <t>Planned</t>
        </is>
      </c>
      <c r="M65" s="6" t="inlineStr"/>
    </row>
    <row r="66" ht="52" customHeight="1">
      <c r="A66" s="4" t="n">
        <v>63</v>
      </c>
      <c r="B66" s="5" t="inlineStr">
        <is>
          <t>Day 13</t>
        </is>
      </c>
      <c r="C66" s="6" t="inlineStr">
        <is>
          <t>Post 3 of 5</t>
        </is>
      </c>
      <c r="D66" s="6" t="inlineStr">
        <is>
          <t>2026-10-18</t>
        </is>
      </c>
      <c r="E66" s="6" t="inlineStr">
        <is>
          <t>02:00 PM</t>
        </is>
      </c>
      <c r="F66" s="7" t="inlineStr">
        <is>
          <t>GS3</t>
        </is>
      </c>
      <c r="G66" s="6" t="inlineStr">
        <is>
          <t>Energy &amp; Climate</t>
        </is>
      </c>
      <c r="H66" s="8" t="inlineStr">
        <is>
          <t>National Green Hydrogen Mission: SIGHT Programme and Electrolyser Manufacturing</t>
        </is>
      </c>
      <c r="I66" s="9" t="inlineStr">
        <is>
          <t>Aiming for 5 MMT annual green hydrogen production by 2030, the SIGHT scheme provides financial incentives to localize electrolyser fabrication and decarbonize refineries and fertilizer units.</t>
        </is>
      </c>
      <c r="J66" s="9" t="inlineStr">
        <is>
          <t>MNRE / PIB / GS3</t>
        </is>
      </c>
      <c r="K66" s="6" t="inlineStr">
        <is>
          <t>day13-post3-national-green-hydrogen-mission-sight</t>
        </is>
      </c>
      <c r="L66" s="10" t="inlineStr">
        <is>
          <t>Planned</t>
        </is>
      </c>
      <c r="M66" s="6" t="inlineStr"/>
    </row>
    <row r="67" ht="52" customHeight="1">
      <c r="A67" s="4" t="n">
        <v>64</v>
      </c>
      <c r="B67" s="5" t="inlineStr">
        <is>
          <t>Day 13</t>
        </is>
      </c>
      <c r="C67" s="6" t="inlineStr">
        <is>
          <t>Post 4 of 5</t>
        </is>
      </c>
      <c r="D67" s="6" t="inlineStr">
        <is>
          <t>2026-10-18</t>
        </is>
      </c>
      <c r="E67" s="6" t="inlineStr">
        <is>
          <t>05:00 PM</t>
        </is>
      </c>
      <c r="F67" s="7" t="inlineStr">
        <is>
          <t>GS3</t>
        </is>
      </c>
      <c r="G67" s="6" t="inlineStr">
        <is>
          <t>Wildlife &amp; Biodiversity</t>
        </is>
      </c>
      <c r="H67" s="8" t="inlineStr">
        <is>
          <t>Cheetah Reintroduction in Kuno National Park: Inter-Continental Translocation</t>
        </is>
      </c>
      <c r="I67" s="9" t="inlineStr">
        <is>
          <t>The world's first inter-continental large-carnivore translocation from Namibia and South Africa aims to restore India's degraded savannah and open-forest grassland ecosystems.</t>
        </is>
      </c>
      <c r="J67" s="9" t="inlineStr">
        <is>
          <t>National Tiger Conservation Authority / MoEFCC / GS3</t>
        </is>
      </c>
      <c r="K67" s="6" t="inlineStr">
        <is>
          <t>day13-post4-cheetah-reintroduction-in-kuno-national</t>
        </is>
      </c>
      <c r="L67" s="10" t="inlineStr">
        <is>
          <t>Planned</t>
        </is>
      </c>
      <c r="M67" s="6" t="inlineStr"/>
    </row>
    <row r="68" ht="52" customHeight="1">
      <c r="A68" s="4" t="n">
        <v>65</v>
      </c>
      <c r="B68" s="5" t="inlineStr">
        <is>
          <t>Day 13</t>
        </is>
      </c>
      <c r="C68" s="6" t="inlineStr">
        <is>
          <t>Post 5 of 5</t>
        </is>
      </c>
      <c r="D68" s="6" t="inlineStr">
        <is>
          <t>2026-10-18</t>
        </is>
      </c>
      <c r="E68" s="6" t="inlineStr">
        <is>
          <t>08:00 PM</t>
        </is>
      </c>
      <c r="F68" s="22" t="inlineStr">
        <is>
          <t>GS4</t>
        </is>
      </c>
      <c r="G68" s="6" t="inlineStr">
        <is>
          <t>Ethics &amp; Corporate Governance</t>
        </is>
      </c>
      <c r="H68" s="8" t="inlineStr">
        <is>
          <t>Whistleblower Protection and Corporate Ethics: Lessons from Regulatory Scrutiny</t>
        </is>
      </c>
      <c r="I68" s="9" t="inlineStr">
        <is>
          <t>Examining statutory protections under the Whistle Blowers Protection Act and SEBI LODR regulations to shield internal whistleblowers exposing systemic accounting irregularities.</t>
        </is>
      </c>
      <c r="J68" s="9" t="inlineStr">
        <is>
          <t>Law Commission / CVC / GS4</t>
        </is>
      </c>
      <c r="K68" s="6" t="inlineStr">
        <is>
          <t>day13-post5-whistleblower-protection-and-corporate-ethics</t>
        </is>
      </c>
      <c r="L68" s="10" t="inlineStr">
        <is>
          <t>Planned</t>
        </is>
      </c>
      <c r="M68" s="6" t="inlineStr"/>
    </row>
    <row r="69" ht="52" customHeight="1">
      <c r="A69" s="12" t="n">
        <v>66</v>
      </c>
      <c r="B69" s="13" t="inlineStr">
        <is>
          <t>Day 14</t>
        </is>
      </c>
      <c r="C69" s="14" t="inlineStr">
        <is>
          <t>Post 1 of 5</t>
        </is>
      </c>
      <c r="D69" s="14" t="inlineStr">
        <is>
          <t>2026-10-19</t>
        </is>
      </c>
      <c r="E69" s="14" t="inlineStr">
        <is>
          <t>08:00 AM</t>
        </is>
      </c>
      <c r="F69" s="19" t="inlineStr">
        <is>
          <t>GS1</t>
        </is>
      </c>
      <c r="G69" s="14" t="inlineStr">
        <is>
          <t>Medieval Culture</t>
        </is>
      </c>
      <c r="H69" s="16" t="inlineStr">
        <is>
          <t>Bhakti Movement and Sant Kabir: Syncretic Socio-Religious Reformation</t>
        </is>
      </c>
      <c r="I69" s="17" t="inlineStr">
        <is>
          <t>Rejecting ritualism and caste hierarchies through vernacular dohas, Sant Kabir pioneered nirguna bhakti, inspiring egalitarian social unity across medieval India.</t>
        </is>
      </c>
      <c r="J69" s="17" t="inlineStr">
        <is>
          <t>Ministry of Culture / Sahitya Akademi / GS1</t>
        </is>
      </c>
      <c r="K69" s="14" t="inlineStr">
        <is>
          <t>day14-post1-bhakti-movement-and-sant-kabir</t>
        </is>
      </c>
      <c r="L69" s="18" t="inlineStr">
        <is>
          <t>Planned</t>
        </is>
      </c>
      <c r="M69" s="14" t="inlineStr"/>
    </row>
    <row r="70" ht="52" customHeight="1">
      <c r="A70" s="12" t="n">
        <v>67</v>
      </c>
      <c r="B70" s="13" t="inlineStr">
        <is>
          <t>Day 14</t>
        </is>
      </c>
      <c r="C70" s="14" t="inlineStr">
        <is>
          <t>Post 2 of 5</t>
        </is>
      </c>
      <c r="D70" s="14" t="inlineStr">
        <is>
          <t>2026-10-19</t>
        </is>
      </c>
      <c r="E70" s="14" t="inlineStr">
        <is>
          <t>11:00 AM</t>
        </is>
      </c>
      <c r="F70" s="20" t="inlineStr">
        <is>
          <t>GS2</t>
        </is>
      </c>
      <c r="G70" s="14" t="inlineStr">
        <is>
          <t>Constitution &amp; Judiciary</t>
        </is>
      </c>
      <c r="H70" s="16" t="inlineStr">
        <is>
          <t>Supreme Court Constitution Bench Verdict on Article 370 Abrogation</t>
        </is>
      </c>
      <c r="I70" s="17" t="inlineStr">
        <is>
          <t>Upholding the constitutional validity of CO 272 and 273, the 5-judge bench reaffirmed asymmetric federalism boundaries while directing restoration of statehood and assembly elections.</t>
        </is>
      </c>
      <c r="J70" s="17" t="inlineStr">
        <is>
          <t>Supreme Court Records / GS2</t>
        </is>
      </c>
      <c r="K70" s="14" t="inlineStr">
        <is>
          <t>day14-post2-supreme-court-constitution-bench-verdict</t>
        </is>
      </c>
      <c r="L70" s="18" t="inlineStr">
        <is>
          <t>Planned</t>
        </is>
      </c>
      <c r="M70" s="14" t="inlineStr"/>
    </row>
    <row r="71" ht="52" customHeight="1">
      <c r="A71" s="12" t="n">
        <v>68</v>
      </c>
      <c r="B71" s="13" t="inlineStr">
        <is>
          <t>Day 14</t>
        </is>
      </c>
      <c r="C71" s="14" t="inlineStr">
        <is>
          <t>Post 3 of 5</t>
        </is>
      </c>
      <c r="D71" s="14" t="inlineStr">
        <is>
          <t>2026-10-19</t>
        </is>
      </c>
      <c r="E71" s="14" t="inlineStr">
        <is>
          <t>02:00 PM</t>
        </is>
      </c>
      <c r="F71" s="15" t="inlineStr">
        <is>
          <t>GS3</t>
        </is>
      </c>
      <c r="G71" s="14" t="inlineStr">
        <is>
          <t>Infrastructure &amp; Logistics</t>
        </is>
      </c>
      <c r="H71" s="16" t="inlineStr">
        <is>
          <t>PM Gati Shakti National Master Plan: Integrated Multimodal Planning</t>
        </is>
      </c>
      <c r="I71" s="17" t="inlineStr">
        <is>
          <t>A GIS-based digital platform breaking departmental silos across 16 ministries, synchronizing road, rail, air, and water connectivity projects to slash logistics costs from 14% to 8% of GDP.</t>
        </is>
      </c>
      <c r="J71" s="17" t="inlineStr">
        <is>
          <t>DPIIT / Ministry of Commerce / GS3</t>
        </is>
      </c>
      <c r="K71" s="14" t="inlineStr">
        <is>
          <t>day14-post3-pm-gati-shakti-national-master</t>
        </is>
      </c>
      <c r="L71" s="18" t="inlineStr">
        <is>
          <t>Planned</t>
        </is>
      </c>
      <c r="M71" s="14" t="inlineStr"/>
    </row>
    <row r="72" ht="52" customHeight="1">
      <c r="A72" s="12" t="n">
        <v>69</v>
      </c>
      <c r="B72" s="13" t="inlineStr">
        <is>
          <t>Day 14</t>
        </is>
      </c>
      <c r="C72" s="14" t="inlineStr">
        <is>
          <t>Post 4 of 5</t>
        </is>
      </c>
      <c r="D72" s="14" t="inlineStr">
        <is>
          <t>2026-10-19</t>
        </is>
      </c>
      <c r="E72" s="14" t="inlineStr">
        <is>
          <t>05:00 PM</t>
        </is>
      </c>
      <c r="F72" s="15" t="inlineStr">
        <is>
          <t>GS3</t>
        </is>
      </c>
      <c r="G72" s="14" t="inlineStr">
        <is>
          <t>Environment &amp; Coastal Ecology</t>
        </is>
      </c>
      <c r="H72" s="16" t="inlineStr">
        <is>
          <t>MISHTI Scheme: Mangrove Conservation for Shoreline Climate Resilience</t>
        </is>
      </c>
      <c r="I72" s="17" t="inlineStr">
        <is>
          <t>Mangrove Initiative for Shoreline Habitats and Tangible Incomes coordinates CAMPA and MGNREGS funds to plant mangroves across 540 sq km of coastline, blunting storm surges.</t>
        </is>
      </c>
      <c r="J72" s="17" t="inlineStr">
        <is>
          <t>MoEFCC / PIB / GS3</t>
        </is>
      </c>
      <c r="K72" s="14" t="inlineStr">
        <is>
          <t>day14-post4-mishti-scheme-mangrove-conservation-for</t>
        </is>
      </c>
      <c r="L72" s="18" t="inlineStr">
        <is>
          <t>Planned</t>
        </is>
      </c>
      <c r="M72" s="14" t="inlineStr"/>
    </row>
    <row r="73" ht="52" customHeight="1">
      <c r="A73" s="12" t="n">
        <v>70</v>
      </c>
      <c r="B73" s="13" t="inlineStr">
        <is>
          <t>Day 14</t>
        </is>
      </c>
      <c r="C73" s="14" t="inlineStr">
        <is>
          <t>Post 5 of 5</t>
        </is>
      </c>
      <c r="D73" s="14" t="inlineStr">
        <is>
          <t>2026-10-19</t>
        </is>
      </c>
      <c r="E73" s="14" t="inlineStr">
        <is>
          <t>08:00 PM</t>
        </is>
      </c>
      <c r="F73" s="15" t="inlineStr">
        <is>
          <t>GS3</t>
        </is>
      </c>
      <c r="G73" s="14" t="inlineStr">
        <is>
          <t>National Security &amp; Diplomacy</t>
        </is>
      </c>
      <c r="H73" s="16" t="inlineStr">
        <is>
          <t>Operation Kaveri: Humanitarian Evacuation from Civil Conflict Zones</t>
        </is>
      </c>
      <c r="I73" s="17" t="inlineStr">
        <is>
          <t>Coordinating Indian Navy stealth frigates and IAF C-130J transport aircraft, India successfully evacuated over 3,800 citizens and foreign nationals from crisis-hit Sudan.</t>
        </is>
      </c>
      <c r="J73" s="17" t="inlineStr">
        <is>
          <t>Ministry of External Affairs / Indian Navy / GS3</t>
        </is>
      </c>
      <c r="K73" s="14" t="inlineStr">
        <is>
          <t>day14-post5-operation-kaveri-humanitarian-evacuation-from</t>
        </is>
      </c>
      <c r="L73" s="18" t="inlineStr">
        <is>
          <t>Planned</t>
        </is>
      </c>
      <c r="M73" s="14" t="inlineStr"/>
    </row>
    <row r="74" ht="52" customHeight="1">
      <c r="A74" s="4" t="n">
        <v>71</v>
      </c>
      <c r="B74" s="5" t="inlineStr">
        <is>
          <t>Day 15</t>
        </is>
      </c>
      <c r="C74" s="6" t="inlineStr">
        <is>
          <t>Post 1 of 5</t>
        </is>
      </c>
      <c r="D74" s="6" t="inlineStr">
        <is>
          <t>2026-10-20</t>
        </is>
      </c>
      <c r="E74" s="6" t="inlineStr">
        <is>
          <t>08:00 AM</t>
        </is>
      </c>
      <c r="F74" s="21" t="inlineStr">
        <is>
          <t>GS1</t>
        </is>
      </c>
      <c r="G74" s="6" t="inlineStr">
        <is>
          <t>Art &amp; Architecture</t>
        </is>
      </c>
      <c r="H74" s="8" t="inlineStr">
        <is>
          <t>Temple Architecture Styles: Nagara, Dravida, and Vesara Evolution</t>
        </is>
      </c>
      <c r="I74" s="9" t="inlineStr">
        <is>
          <t>From the curved shikhara and cruciform ground plan of Nagara to the pyramidal vimana and majestic gopurams of Dravida, architectural canons reflected regional sacred geometry.</t>
        </is>
      </c>
      <c r="J74" s="9" t="inlineStr">
        <is>
          <t>Archaeological Survey of India / GS1</t>
        </is>
      </c>
      <c r="K74" s="6" t="inlineStr">
        <is>
          <t>day15-post1-temple-architecture-styles-nagara-dravida</t>
        </is>
      </c>
      <c r="L74" s="10" t="inlineStr">
        <is>
          <t>Planned</t>
        </is>
      </c>
      <c r="M74" s="6" t="inlineStr"/>
    </row>
    <row r="75" ht="52" customHeight="1">
      <c r="A75" s="4" t="n">
        <v>72</v>
      </c>
      <c r="B75" s="5" t="inlineStr">
        <is>
          <t>Day 15</t>
        </is>
      </c>
      <c r="C75" s="6" t="inlineStr">
        <is>
          <t>Post 2 of 5</t>
        </is>
      </c>
      <c r="D75" s="6" t="inlineStr">
        <is>
          <t>2026-10-20</t>
        </is>
      </c>
      <c r="E75" s="6" t="inlineStr">
        <is>
          <t>11:00 AM</t>
        </is>
      </c>
      <c r="F75" s="11" t="inlineStr">
        <is>
          <t>GS2</t>
        </is>
      </c>
      <c r="G75" s="6" t="inlineStr">
        <is>
          <t>Federalism &amp; Water Governance</t>
        </is>
      </c>
      <c r="H75" s="8" t="inlineStr">
        <is>
          <t>Inter-State River Water Disputes: Article 262 and Tribunal Stalemates</t>
        </is>
      </c>
      <c r="I75" s="9" t="inlineStr">
        <is>
          <t>Examining the Inter-State River Water Disputes Act 1956 and Cauvery/Krishna disputes, highlighting the necessity of a single permanent tribunal with institutional data monitoring.</t>
        </is>
      </c>
      <c r="J75" s="9" t="inlineStr">
        <is>
          <t>Ministry of Jal Shakti / Law Commission / GS2</t>
        </is>
      </c>
      <c r="K75" s="6" t="inlineStr">
        <is>
          <t>day15-post2-interstate-river-water-disputes-article</t>
        </is>
      </c>
      <c r="L75" s="10" t="inlineStr">
        <is>
          <t>Planned</t>
        </is>
      </c>
      <c r="M75" s="6" t="inlineStr"/>
    </row>
    <row r="76" ht="52" customHeight="1">
      <c r="A76" s="4" t="n">
        <v>73</v>
      </c>
      <c r="B76" s="5" t="inlineStr">
        <is>
          <t>Day 15</t>
        </is>
      </c>
      <c r="C76" s="6" t="inlineStr">
        <is>
          <t>Post 3 of 5</t>
        </is>
      </c>
      <c r="D76" s="6" t="inlineStr">
        <is>
          <t>2026-10-20</t>
        </is>
      </c>
      <c r="E76" s="6" t="inlineStr">
        <is>
          <t>02:00 PM</t>
        </is>
      </c>
      <c r="F76" s="7" t="inlineStr">
        <is>
          <t>GS3</t>
        </is>
      </c>
      <c r="G76" s="6" t="inlineStr">
        <is>
          <t>Financial Technology</t>
        </is>
      </c>
      <c r="H76" s="8" t="inlineStr">
        <is>
          <t>UPI Global Linkages: Internationalization of India's Digital Public Infrastructure</t>
        </is>
      </c>
      <c r="I76" s="9" t="inlineStr">
        <is>
          <t>Linking NPCI's UPI with Singapore's PayNow, UAE's Jaywan, and France's Lyra enables real-time cross-border remittances, lowering fees and dedollarizing bilateral micro-payments.</t>
        </is>
      </c>
      <c r="J76" s="9" t="inlineStr">
        <is>
          <t>Reserve Bank of India / NPCI / GS3</t>
        </is>
      </c>
      <c r="K76" s="6" t="inlineStr">
        <is>
          <t>day15-post3-upi-global-linkages-internationalization-of</t>
        </is>
      </c>
      <c r="L76" s="10" t="inlineStr">
        <is>
          <t>Planned</t>
        </is>
      </c>
      <c r="M76" s="6" t="inlineStr"/>
    </row>
    <row r="77" ht="52" customHeight="1">
      <c r="A77" s="4" t="n">
        <v>74</v>
      </c>
      <c r="B77" s="5" t="inlineStr">
        <is>
          <t>Day 15</t>
        </is>
      </c>
      <c r="C77" s="6" t="inlineStr">
        <is>
          <t>Post 4 of 5</t>
        </is>
      </c>
      <c r="D77" s="6" t="inlineStr">
        <is>
          <t>2026-10-20</t>
        </is>
      </c>
      <c r="E77" s="6" t="inlineStr">
        <is>
          <t>05:00 PM</t>
        </is>
      </c>
      <c r="F77" s="7" t="inlineStr">
        <is>
          <t>GS3</t>
        </is>
      </c>
      <c r="G77" s="6" t="inlineStr">
        <is>
          <t>Science &amp; Space</t>
        </is>
      </c>
      <c r="H77" s="8" t="inlineStr">
        <is>
          <t>Aditya-L1 Solar Mission: Heliophysics Research at Lagrange Point L1</t>
        </is>
      </c>
      <c r="I77" s="9" t="inlineStr">
        <is>
          <t>Stationed 1.5 million km from Earth in a halo orbit around L1, Aditya-L1 continuously tracks coronal mass ejections, solar flares, and space weather without eclipse disruptions.</t>
        </is>
      </c>
      <c r="J77" s="9" t="inlineStr">
        <is>
          <t>ISRO / Department of Space / GS3</t>
        </is>
      </c>
      <c r="K77" s="6" t="inlineStr">
        <is>
          <t>day15-post4-adityal1-solar-mission-heliophysics-research</t>
        </is>
      </c>
      <c r="L77" s="10" t="inlineStr">
        <is>
          <t>Planned</t>
        </is>
      </c>
      <c r="M77" s="6" t="inlineStr"/>
    </row>
    <row r="78" ht="52" customHeight="1">
      <c r="A78" s="4" t="n">
        <v>75</v>
      </c>
      <c r="B78" s="5" t="inlineStr">
        <is>
          <t>Day 15</t>
        </is>
      </c>
      <c r="C78" s="6" t="inlineStr">
        <is>
          <t>Post 5 of 5</t>
        </is>
      </c>
      <c r="D78" s="6" t="inlineStr">
        <is>
          <t>2026-10-20</t>
        </is>
      </c>
      <c r="E78" s="6" t="inlineStr">
        <is>
          <t>08:00 PM</t>
        </is>
      </c>
      <c r="F78" s="22" t="inlineStr">
        <is>
          <t>GS4</t>
        </is>
      </c>
      <c r="G78" s="6" t="inlineStr">
        <is>
          <t>Ethics &amp; Administration</t>
        </is>
      </c>
      <c r="H78" s="8" t="inlineStr">
        <is>
          <t>Compassion in Civil Administration: District Collector Grievance Redressal</t>
        </is>
      </c>
      <c r="I78" s="9" t="inlineStr">
        <is>
          <t>Case study analyzing how administrative empathy transformed grievance redressal in aspirational districts through door-step pensions and disability certification drives.</t>
        </is>
      </c>
      <c r="J78" s="9" t="inlineStr">
        <is>
          <t>DARPG / Mission Karmayogi / GS4</t>
        </is>
      </c>
      <c r="K78" s="6" t="inlineStr">
        <is>
          <t>day15-post5-compassion-in-civil-administration-district</t>
        </is>
      </c>
      <c r="L78" s="10" t="inlineStr">
        <is>
          <t>Planned</t>
        </is>
      </c>
      <c r="M78" s="6" t="inlineStr"/>
    </row>
    <row r="79" ht="52" customHeight="1">
      <c r="A79" s="12" t="n">
        <v>76</v>
      </c>
      <c r="B79" s="13" t="inlineStr">
        <is>
          <t>Day 16</t>
        </is>
      </c>
      <c r="C79" s="14" t="inlineStr">
        <is>
          <t>Post 1 of 5</t>
        </is>
      </c>
      <c r="D79" s="14" t="inlineStr">
        <is>
          <t>2026-10-21</t>
        </is>
      </c>
      <c r="E79" s="14" t="inlineStr">
        <is>
          <t>08:00 AM</t>
        </is>
      </c>
      <c r="F79" s="19" t="inlineStr">
        <is>
          <t>GS1</t>
        </is>
      </c>
      <c r="G79" s="14" t="inlineStr">
        <is>
          <t>Physical Geography</t>
        </is>
      </c>
      <c r="H79" s="16" t="inlineStr">
        <is>
          <t>Indian Monsoon Dynamics: El Niño, La Niña, and the Indian Ocean Dipole</t>
        </is>
      </c>
      <c r="I79" s="17" t="inlineStr">
        <is>
          <t>Analyzing teleconnections between equatorial Pacific sea-surface temperatures and summer monsoons, and how positive IOD events buffer India against El Niño rain deficits.</t>
        </is>
      </c>
      <c r="J79" s="17" t="inlineStr">
        <is>
          <t>India Meteorological Department / MoES / GS1</t>
        </is>
      </c>
      <c r="K79" s="14" t="inlineStr">
        <is>
          <t>day16-post1-indian-monsoon-dynamics-el-niño</t>
        </is>
      </c>
      <c r="L79" s="18" t="inlineStr">
        <is>
          <t>Planned</t>
        </is>
      </c>
      <c r="M79" s="14" t="inlineStr"/>
    </row>
    <row r="80" ht="52" customHeight="1">
      <c r="A80" s="12" t="n">
        <v>77</v>
      </c>
      <c r="B80" s="13" t="inlineStr">
        <is>
          <t>Day 16</t>
        </is>
      </c>
      <c r="C80" s="14" t="inlineStr">
        <is>
          <t>Post 2 of 5</t>
        </is>
      </c>
      <c r="D80" s="14" t="inlineStr">
        <is>
          <t>2026-10-21</t>
        </is>
      </c>
      <c r="E80" s="14" t="inlineStr">
        <is>
          <t>11:00 AM</t>
        </is>
      </c>
      <c r="F80" s="20" t="inlineStr">
        <is>
          <t>GS2</t>
        </is>
      </c>
      <c r="G80" s="14" t="inlineStr">
        <is>
          <t>Electoral Reforms</t>
        </is>
      </c>
      <c r="H80" s="16" t="inlineStr">
        <is>
          <t>Supreme Court Struck Down Electoral Bonds: Landmark Transparency Verdict</t>
        </is>
      </c>
      <c r="I80" s="17" t="inlineStr">
        <is>
          <t>A unanimous 5-judge bench held anonymous electoral bonds unconstitutional under Article 19(1)(a), establishing voters' fundamental right to information regarding political donor funding.</t>
        </is>
      </c>
      <c r="J80" s="17" t="inlineStr">
        <is>
          <t>Supreme Court Records / ADR / GS2</t>
        </is>
      </c>
      <c r="K80" s="14" t="inlineStr">
        <is>
          <t>day16-post2-supreme-court-struck-down-electoral</t>
        </is>
      </c>
      <c r="L80" s="18" t="inlineStr">
        <is>
          <t>Planned</t>
        </is>
      </c>
      <c r="M80" s="14" t="inlineStr"/>
    </row>
    <row r="81" ht="52" customHeight="1">
      <c r="A81" s="12" t="n">
        <v>78</v>
      </c>
      <c r="B81" s="13" t="inlineStr">
        <is>
          <t>Day 16</t>
        </is>
      </c>
      <c r="C81" s="14" t="inlineStr">
        <is>
          <t>Post 3 of 5</t>
        </is>
      </c>
      <c r="D81" s="14" t="inlineStr">
        <is>
          <t>2026-10-21</t>
        </is>
      </c>
      <c r="E81" s="14" t="inlineStr">
        <is>
          <t>02:00 PM</t>
        </is>
      </c>
      <c r="F81" s="15" t="inlineStr">
        <is>
          <t>GS3</t>
        </is>
      </c>
      <c r="G81" s="14" t="inlineStr">
        <is>
          <t>Economy &amp; Manufacturing</t>
        </is>
      </c>
      <c r="H81" s="16" t="inlineStr">
        <is>
          <t>Production Linked Incentive (PLI) Schemes: Driving Scale Across 14 Sectors</t>
        </is>
      </c>
      <c r="I81" s="17" t="inlineStr">
        <is>
          <t>Targeting electronics, pharma, green mobility, and specialty steel, PLI schemes tie budgetary outlays of ₹1.97 lakh crore to incremental domestic sales, creating global export leaders.</t>
        </is>
      </c>
      <c r="J81" s="17" t="inlineStr">
        <is>
          <t>NITI Aayog / DPIIT / GS3</t>
        </is>
      </c>
      <c r="K81" s="14" t="inlineStr">
        <is>
          <t>day16-post3-production-linked-incentive-pli-schemes</t>
        </is>
      </c>
      <c r="L81" s="18" t="inlineStr">
        <is>
          <t>Planned</t>
        </is>
      </c>
      <c r="M81" s="14" t="inlineStr"/>
    </row>
    <row r="82" ht="52" customHeight="1">
      <c r="A82" s="12" t="n">
        <v>79</v>
      </c>
      <c r="B82" s="13" t="inlineStr">
        <is>
          <t>Day 16</t>
        </is>
      </c>
      <c r="C82" s="14" t="inlineStr">
        <is>
          <t>Post 4 of 5</t>
        </is>
      </c>
      <c r="D82" s="14" t="inlineStr">
        <is>
          <t>2026-10-21</t>
        </is>
      </c>
      <c r="E82" s="14" t="inlineStr">
        <is>
          <t>05:00 PM</t>
        </is>
      </c>
      <c r="F82" s="15" t="inlineStr">
        <is>
          <t>GS3</t>
        </is>
      </c>
      <c r="G82" s="14" t="inlineStr">
        <is>
          <t>Environment &amp; Island Development</t>
        </is>
      </c>
      <c r="H82" s="16" t="inlineStr">
        <is>
          <t>Great Nicobar Island Infrastructure Project: Strategic vs Ecological Balance</t>
        </is>
      </c>
      <c r="I82" s="17" t="inlineStr">
        <is>
          <t>The ₹72,000 crore holistic development of Galathea Bay involves a transshipment port, airstrip, and power plant, requiring compensatory afforestation and tribal Shompen safeguards.</t>
        </is>
      </c>
      <c r="J82" s="17" t="inlineStr">
        <is>
          <t>NITI Aayog / MoEFCC / GS3</t>
        </is>
      </c>
      <c r="K82" s="14" t="inlineStr">
        <is>
          <t>day16-post4-great-nicobar-island-infrastructure-project</t>
        </is>
      </c>
      <c r="L82" s="18" t="inlineStr">
        <is>
          <t>Planned</t>
        </is>
      </c>
      <c r="M82" s="14" t="inlineStr"/>
    </row>
    <row r="83" ht="52" customHeight="1">
      <c r="A83" s="12" t="n">
        <v>80</v>
      </c>
      <c r="B83" s="13" t="inlineStr">
        <is>
          <t>Day 16</t>
        </is>
      </c>
      <c r="C83" s="14" t="inlineStr">
        <is>
          <t>Post 5 of 5</t>
        </is>
      </c>
      <c r="D83" s="14" t="inlineStr">
        <is>
          <t>2026-10-21</t>
        </is>
      </c>
      <c r="E83" s="14" t="inlineStr">
        <is>
          <t>08:00 PM</t>
        </is>
      </c>
      <c r="F83" s="20" t="inlineStr">
        <is>
          <t>GS2</t>
        </is>
      </c>
      <c r="G83" s="14" t="inlineStr">
        <is>
          <t>International Relations</t>
        </is>
      </c>
      <c r="H83" s="16" t="inlineStr">
        <is>
          <t>Voice of Global South Summit: Championing Inclusivity in Multilateral Fora</t>
        </is>
      </c>
      <c r="I83" s="17" t="inlineStr">
        <is>
          <t>Convening over 120 developing nations, India amplified Global South priorities on climate finance, debt restructuring, food security, and inclusion of the African Union into G20.</t>
        </is>
      </c>
      <c r="J83" s="17" t="inlineStr">
        <is>
          <t>Ministry of External Affairs / GS2</t>
        </is>
      </c>
      <c r="K83" s="14" t="inlineStr">
        <is>
          <t>day16-post5-voice-of-global-south-summit</t>
        </is>
      </c>
      <c r="L83" s="18" t="inlineStr">
        <is>
          <t>Planned</t>
        </is>
      </c>
      <c r="M83" s="14" t="inlineStr"/>
    </row>
    <row r="84" ht="52" customHeight="1">
      <c r="A84" s="4" t="n">
        <v>81</v>
      </c>
      <c r="B84" s="5" t="inlineStr">
        <is>
          <t>Day 17</t>
        </is>
      </c>
      <c r="C84" s="6" t="inlineStr">
        <is>
          <t>Post 1 of 5</t>
        </is>
      </c>
      <c r="D84" s="6" t="inlineStr">
        <is>
          <t>2026-10-22</t>
        </is>
      </c>
      <c r="E84" s="6" t="inlineStr">
        <is>
          <t>08:00 AM</t>
        </is>
      </c>
      <c r="F84" s="21" t="inlineStr">
        <is>
          <t>GS1</t>
        </is>
      </c>
      <c r="G84" s="6" t="inlineStr">
        <is>
          <t>Modern History</t>
        </is>
      </c>
      <c r="H84" s="8" t="inlineStr">
        <is>
          <t>Deccan Riots of 1875: Moneylender Exploitation and Agricultural Debt</t>
        </is>
      </c>
      <c r="I84" s="9" t="inlineStr">
        <is>
          <t>Triggered by oppressive colonial Ryotwari land revenue and usurious moneylender debt, peasant uprisings in Pune and Ahmednagar led to the Deccan Agriculturists' Relief Act 1879.</t>
        </is>
      </c>
      <c r="J84" s="9" t="inlineStr">
        <is>
          <t>National Archives of India / GS1</t>
        </is>
      </c>
      <c r="K84" s="6" t="inlineStr">
        <is>
          <t>day17-post1-deccan-riots-of-1875-moneylender</t>
        </is>
      </c>
      <c r="L84" s="10" t="inlineStr">
        <is>
          <t>Planned</t>
        </is>
      </c>
      <c r="M84" s="6" t="inlineStr"/>
    </row>
    <row r="85" ht="52" customHeight="1">
      <c r="A85" s="4" t="n">
        <v>82</v>
      </c>
      <c r="B85" s="5" t="inlineStr">
        <is>
          <t>Day 17</t>
        </is>
      </c>
      <c r="C85" s="6" t="inlineStr">
        <is>
          <t>Post 2 of 5</t>
        </is>
      </c>
      <c r="D85" s="6" t="inlineStr">
        <is>
          <t>2026-10-22</t>
        </is>
      </c>
      <c r="E85" s="6" t="inlineStr">
        <is>
          <t>11:00 AM</t>
        </is>
      </c>
      <c r="F85" s="11" t="inlineStr">
        <is>
          <t>GS2</t>
        </is>
      </c>
      <c r="G85" s="6" t="inlineStr">
        <is>
          <t>Constitutional Reforms</t>
        </is>
      </c>
      <c r="H85" s="8" t="inlineStr">
        <is>
          <t>Simultaneous Elections: Kovind Committee Recommendations on One Nation One Poll</t>
        </is>
      </c>
      <c r="I85" s="9" t="inlineStr">
        <is>
          <t>Proposing synchronization of Lok Sabha and State Legislative Assemblies followed by local body elections within 100 days, analyzing implications on federalism and constitutional amendments.</t>
        </is>
      </c>
      <c r="J85" s="9" t="inlineStr">
        <is>
          <t>High-Level Committee on Simultaneous Elections / GS2</t>
        </is>
      </c>
      <c r="K85" s="6" t="inlineStr">
        <is>
          <t>day17-post2-simultaneous-elections-kovind-committee-recommendations</t>
        </is>
      </c>
      <c r="L85" s="10" t="inlineStr">
        <is>
          <t>Planned</t>
        </is>
      </c>
      <c r="M85" s="6" t="inlineStr"/>
    </row>
    <row r="86" ht="52" customHeight="1">
      <c r="A86" s="4" t="n">
        <v>83</v>
      </c>
      <c r="B86" s="5" t="inlineStr">
        <is>
          <t>Day 17</t>
        </is>
      </c>
      <c r="C86" s="6" t="inlineStr">
        <is>
          <t>Post 3 of 5</t>
        </is>
      </c>
      <c r="D86" s="6" t="inlineStr">
        <is>
          <t>2026-10-22</t>
        </is>
      </c>
      <c r="E86" s="6" t="inlineStr">
        <is>
          <t>02:00 PM</t>
        </is>
      </c>
      <c r="F86" s="7" t="inlineStr">
        <is>
          <t>GS3</t>
        </is>
      </c>
      <c r="G86" s="6" t="inlineStr">
        <is>
          <t>Banking &amp; Economy</t>
        </is>
      </c>
      <c r="H86" s="8" t="inlineStr">
        <is>
          <t>Insolvency and Bankruptcy Code (IBC) 2016: Resolving Stressed Assets</t>
        </is>
      </c>
      <c r="I86" s="9" t="inlineStr">
        <is>
          <t>Shifting control from debtor-in-possession to creditor-in-control, the IBC resolved over ₹3.4 lakh crore in bad debt, establishing the NCLT and maximizing corporate enterprise value.</t>
        </is>
      </c>
      <c r="J86" s="9" t="inlineStr">
        <is>
          <t>Insolvency and Bankruptcy Board of India / GS3</t>
        </is>
      </c>
      <c r="K86" s="6" t="inlineStr">
        <is>
          <t>day17-post3-insolvency-and-bankruptcy-code-ibc</t>
        </is>
      </c>
      <c r="L86" s="10" t="inlineStr">
        <is>
          <t>Planned</t>
        </is>
      </c>
      <c r="M86" s="6" t="inlineStr"/>
    </row>
    <row r="87" ht="52" customHeight="1">
      <c r="A87" s="4" t="n">
        <v>84</v>
      </c>
      <c r="B87" s="5" t="inlineStr">
        <is>
          <t>Day 17</t>
        </is>
      </c>
      <c r="C87" s="6" t="inlineStr">
        <is>
          <t>Post 4 of 5</t>
        </is>
      </c>
      <c r="D87" s="6" t="inlineStr">
        <is>
          <t>2026-10-22</t>
        </is>
      </c>
      <c r="E87" s="6" t="inlineStr">
        <is>
          <t>05:00 PM</t>
        </is>
      </c>
      <c r="F87" s="7" t="inlineStr">
        <is>
          <t>GS3</t>
        </is>
      </c>
      <c r="G87" s="6" t="inlineStr">
        <is>
          <t>Pollution &amp; Environment</t>
        </is>
      </c>
      <c r="H87" s="8" t="inlineStr">
        <is>
          <t>National Clean Air Programme (NCAP): Multi-City Air Quality Targets</t>
        </is>
      </c>
      <c r="I87" s="9" t="inlineStr">
        <is>
          <t>Covering 131 non-attainment cities, NCAP mandates 40% reduction in PM10 and PM2.5 concentrations by 2026 through vehicular transition, mechanized sweeping, and industrial monitors.</t>
        </is>
      </c>
      <c r="J87" s="9" t="inlineStr">
        <is>
          <t>Central Pollution Control Board / MoEFCC / GS3</t>
        </is>
      </c>
      <c r="K87" s="6" t="inlineStr">
        <is>
          <t>day17-post4-national-clean-air-programme-ncap</t>
        </is>
      </c>
      <c r="L87" s="10" t="inlineStr">
        <is>
          <t>Planned</t>
        </is>
      </c>
      <c r="M87" s="6" t="inlineStr"/>
    </row>
    <row r="88" ht="52" customHeight="1">
      <c r="A88" s="4" t="n">
        <v>85</v>
      </c>
      <c r="B88" s="5" t="inlineStr">
        <is>
          <t>Day 17</t>
        </is>
      </c>
      <c r="C88" s="6" t="inlineStr">
        <is>
          <t>Post 5 of 5</t>
        </is>
      </c>
      <c r="D88" s="6" t="inlineStr">
        <is>
          <t>2026-10-22</t>
        </is>
      </c>
      <c r="E88" s="6" t="inlineStr">
        <is>
          <t>08:00 PM</t>
        </is>
      </c>
      <c r="F88" s="7" t="inlineStr">
        <is>
          <t>GS3</t>
        </is>
      </c>
      <c r="G88" s="6" t="inlineStr">
        <is>
          <t>Defense &amp; Self-Reliance</t>
        </is>
      </c>
      <c r="H88" s="8" t="inlineStr">
        <is>
          <t>INS Vikrant: Indigenous Aircraft Carrier Commissioning and Naval Power</t>
        </is>
      </c>
      <c r="I88" s="9" t="inlineStr">
        <is>
          <t>Built with 76% indigenous content by Cochin Shipyard, the 45,000-tonne carrier features ski-jump STOBAR operations, anchoring carrier battle group dominance in the Indian Ocean.</t>
        </is>
      </c>
      <c r="J88" s="9" t="inlineStr">
        <is>
          <t>Indian Navy / Ministry of Defence / GS3</t>
        </is>
      </c>
      <c r="K88" s="6" t="inlineStr">
        <is>
          <t>day17-post5-ins-vikrant-indigenous-aircraft-carrier</t>
        </is>
      </c>
      <c r="L88" s="10" t="inlineStr">
        <is>
          <t>Planned</t>
        </is>
      </c>
      <c r="M88" s="6" t="inlineStr"/>
    </row>
    <row r="89" ht="52" customHeight="1">
      <c r="A89" s="12" t="n">
        <v>86</v>
      </c>
      <c r="B89" s="13" t="inlineStr">
        <is>
          <t>Day 18</t>
        </is>
      </c>
      <c r="C89" s="14" t="inlineStr">
        <is>
          <t>Post 1 of 5</t>
        </is>
      </c>
      <c r="D89" s="14" t="inlineStr">
        <is>
          <t>2026-10-23</t>
        </is>
      </c>
      <c r="E89" s="14" t="inlineStr">
        <is>
          <t>08:00 AM</t>
        </is>
      </c>
      <c r="F89" s="19" t="inlineStr">
        <is>
          <t>GS1</t>
        </is>
      </c>
      <c r="G89" s="14" t="inlineStr">
        <is>
          <t>Heritage &amp; Geography</t>
        </is>
      </c>
      <c r="H89" s="16" t="inlineStr">
        <is>
          <t>Traditional Rainwater Harvesting: Baolis, Johads, and Zing Systems</t>
        </is>
      </c>
      <c r="I89" s="17" t="inlineStr">
        <is>
          <t>From Gujarat's stepwells and Rajasthan's earthen johads to Ladakh's glacial-melt zings, traditional indigenous water systems embody community-led climate adaptation.</t>
        </is>
      </c>
      <c r="J89" s="17" t="inlineStr">
        <is>
          <t>Ministry of Jal Shakti / INTACH / GS1</t>
        </is>
      </c>
      <c r="K89" s="14" t="inlineStr">
        <is>
          <t>day18-post1-traditional-rainwater-harvesting-baolis-johads</t>
        </is>
      </c>
      <c r="L89" s="18" t="inlineStr">
        <is>
          <t>Planned</t>
        </is>
      </c>
      <c r="M89" s="14" t="inlineStr"/>
    </row>
    <row r="90" ht="52" customHeight="1">
      <c r="A90" s="12" t="n">
        <v>87</v>
      </c>
      <c r="B90" s="13" t="inlineStr">
        <is>
          <t>Day 18</t>
        </is>
      </c>
      <c r="C90" s="14" t="inlineStr">
        <is>
          <t>Post 2 of 5</t>
        </is>
      </c>
      <c r="D90" s="14" t="inlineStr">
        <is>
          <t>2026-10-23</t>
        </is>
      </c>
      <c r="E90" s="14" t="inlineStr">
        <is>
          <t>11:00 AM</t>
        </is>
      </c>
      <c r="F90" s="20" t="inlineStr">
        <is>
          <t>GS2</t>
        </is>
      </c>
      <c r="G90" s="14" t="inlineStr">
        <is>
          <t>Judiciary &amp; Governance</t>
        </is>
      </c>
      <c r="H90" s="16" t="inlineStr">
        <is>
          <t>Tribunalisation of Justice: Judicial Independence and Article 323A/B</t>
        </is>
      </c>
      <c r="I90" s="17" t="inlineStr">
        <is>
          <t>Examining L. Chandra Kumar and Madras Bar Association rulings, affirming that tribunals cannot bypass High Court judicial review and must maintain executive independence.</t>
        </is>
      </c>
      <c r="J90" s="17" t="inlineStr">
        <is>
          <t>Supreme Court Records / Law Ministry / GS2</t>
        </is>
      </c>
      <c r="K90" s="14" t="inlineStr">
        <is>
          <t>day18-post2-tribunalisation-of-justice-judicial-independence</t>
        </is>
      </c>
      <c r="L90" s="18" t="inlineStr">
        <is>
          <t>Planned</t>
        </is>
      </c>
      <c r="M90" s="14" t="inlineStr"/>
    </row>
    <row r="91" ht="52" customHeight="1">
      <c r="A91" s="12" t="n">
        <v>88</v>
      </c>
      <c r="B91" s="13" t="inlineStr">
        <is>
          <t>Day 18</t>
        </is>
      </c>
      <c r="C91" s="14" t="inlineStr">
        <is>
          <t>Post 3 of 5</t>
        </is>
      </c>
      <c r="D91" s="14" t="inlineStr">
        <is>
          <t>2026-10-23</t>
        </is>
      </c>
      <c r="E91" s="14" t="inlineStr">
        <is>
          <t>02:00 PM</t>
        </is>
      </c>
      <c r="F91" s="15" t="inlineStr">
        <is>
          <t>GS3</t>
        </is>
      </c>
      <c r="G91" s="14" t="inlineStr">
        <is>
          <t>Agriculture &amp; Technology</t>
        </is>
      </c>
      <c r="H91" s="16" t="inlineStr">
        <is>
          <t>Agri-Stack &amp; Digital Public Infrastructure for Indian Farmers</t>
        </is>
      </c>
      <c r="I91" s="17" t="inlineStr">
        <is>
          <t>Creating a foundational digital registry of farmers, geo-referenced land parcels, and crop-sown data to automate targeted crop insurance, credit disbursement, and MSP procurement.</t>
        </is>
      </c>
      <c r="J91" s="17" t="inlineStr">
        <is>
          <t>Ministry of Agriculture / PIB / GS3</t>
        </is>
      </c>
      <c r="K91" s="14" t="inlineStr">
        <is>
          <t>day18-post3-agristack-digital-public-infrastructure-for</t>
        </is>
      </c>
      <c r="L91" s="18" t="inlineStr">
        <is>
          <t>Planned</t>
        </is>
      </c>
      <c r="M91" s="14" t="inlineStr"/>
    </row>
    <row r="92" ht="52" customHeight="1">
      <c r="A92" s="12" t="n">
        <v>89</v>
      </c>
      <c r="B92" s="13" t="inlineStr">
        <is>
          <t>Day 18</t>
        </is>
      </c>
      <c r="C92" s="14" t="inlineStr">
        <is>
          <t>Post 4 of 5</t>
        </is>
      </c>
      <c r="D92" s="14" t="inlineStr">
        <is>
          <t>2026-10-23</t>
        </is>
      </c>
      <c r="E92" s="14" t="inlineStr">
        <is>
          <t>05:00 PM</t>
        </is>
      </c>
      <c r="F92" s="15" t="inlineStr">
        <is>
          <t>GS3</t>
        </is>
      </c>
      <c r="G92" s="14" t="inlineStr">
        <is>
          <t>Science &amp; Space</t>
        </is>
      </c>
      <c r="H92" s="16" t="inlineStr">
        <is>
          <t>Gaganyaan Programme: India's Indigenous Human Spaceflight Capability</t>
        </is>
      </c>
      <c r="I92" s="17" t="inlineStr">
        <is>
          <t>Carrying a 3-member crew to a 400 km low-Earth orbit for 3 days, Gaganyaan qualifies India's human-rated LVM3 launch vehicle, environmental life support, and crew escape systems.</t>
        </is>
      </c>
      <c r="J92" s="17" t="inlineStr">
        <is>
          <t>ISRO / Department of Space / GS3</t>
        </is>
      </c>
      <c r="K92" s="14" t="inlineStr">
        <is>
          <t>day18-post4-gaganyaan-programme-indias-indigenous-human</t>
        </is>
      </c>
      <c r="L92" s="18" t="inlineStr">
        <is>
          <t>Planned</t>
        </is>
      </c>
      <c r="M92" s="14" t="inlineStr"/>
    </row>
    <row r="93" ht="52" customHeight="1">
      <c r="A93" s="12" t="n">
        <v>90</v>
      </c>
      <c r="B93" s="13" t="inlineStr">
        <is>
          <t>Day 18</t>
        </is>
      </c>
      <c r="C93" s="14" t="inlineStr">
        <is>
          <t>Post 5 of 5</t>
        </is>
      </c>
      <c r="D93" s="14" t="inlineStr">
        <is>
          <t>2026-10-23</t>
        </is>
      </c>
      <c r="E93" s="14" t="inlineStr">
        <is>
          <t>08:00 PM</t>
        </is>
      </c>
      <c r="F93" s="23" t="inlineStr">
        <is>
          <t>GS4</t>
        </is>
      </c>
      <c r="G93" s="14" t="inlineStr">
        <is>
          <t>Administrative Ethics</t>
        </is>
      </c>
      <c r="H93" s="16" t="inlineStr">
        <is>
          <t>Nolan Principles of Public Life: Selflessness and Integrity in Public Service</t>
        </is>
      </c>
      <c r="I93" s="17" t="inlineStr">
        <is>
          <t>Evaluating how the 7 Nolan principles—selflessness, integrity, objectivity, accountability, openness, honesty, and leadership—govern public officials facing corrupt executive pressures.</t>
        </is>
      </c>
      <c r="J93" s="17" t="inlineStr">
        <is>
          <t>Second Administrative Reforms Commission / DoPT / GS4</t>
        </is>
      </c>
      <c r="K93" s="14" t="inlineStr">
        <is>
          <t>day18-post5-nolan-principles-of-public-life</t>
        </is>
      </c>
      <c r="L93" s="18" t="inlineStr">
        <is>
          <t>Planned</t>
        </is>
      </c>
      <c r="M93" s="14" t="inlineStr"/>
    </row>
    <row r="94" ht="52" customHeight="1">
      <c r="A94" s="4" t="n">
        <v>91</v>
      </c>
      <c r="B94" s="5" t="inlineStr">
        <is>
          <t>Day 19</t>
        </is>
      </c>
      <c r="C94" s="6" t="inlineStr">
        <is>
          <t>Post 1 of 5</t>
        </is>
      </c>
      <c r="D94" s="6" t="inlineStr">
        <is>
          <t>2026-10-24</t>
        </is>
      </c>
      <c r="E94" s="6" t="inlineStr">
        <is>
          <t>08:00 AM</t>
        </is>
      </c>
      <c r="F94" s="21" t="inlineStr">
        <is>
          <t>GS1</t>
        </is>
      </c>
      <c r="G94" s="6" t="inlineStr">
        <is>
          <t>Freedom Movement</t>
        </is>
      </c>
      <c r="H94" s="8" t="inlineStr">
        <is>
          <t>Women in Indian Freedom Struggle: Matangini Hazra and Aruna Asaf Ali</t>
        </is>
      </c>
      <c r="I94" s="9" t="inlineStr">
        <is>
          <t>Highlighting the fearless leadership of 73-year-old Matangini Hazra during Quit India in Tamluk and Aruna Asaf Ali hoisting the Tricolour at Gowalia Tank Maidan.</t>
        </is>
      </c>
      <c r="J94" s="9" t="inlineStr">
        <is>
          <t>National Archives of India / Ministry of Culture / GS1</t>
        </is>
      </c>
      <c r="K94" s="6" t="inlineStr">
        <is>
          <t>day19-post1-women-in-indian-freedom-struggle</t>
        </is>
      </c>
      <c r="L94" s="10" t="inlineStr">
        <is>
          <t>Planned</t>
        </is>
      </c>
      <c r="M94" s="6" t="inlineStr"/>
    </row>
    <row r="95" ht="52" customHeight="1">
      <c r="A95" s="4" t="n">
        <v>92</v>
      </c>
      <c r="B95" s="5" t="inlineStr">
        <is>
          <t>Day 19</t>
        </is>
      </c>
      <c r="C95" s="6" t="inlineStr">
        <is>
          <t>Post 2 of 5</t>
        </is>
      </c>
      <c r="D95" s="6" t="inlineStr">
        <is>
          <t>2026-10-24</t>
        </is>
      </c>
      <c r="E95" s="6" t="inlineStr">
        <is>
          <t>11:00 AM</t>
        </is>
      </c>
      <c r="F95" s="11" t="inlineStr">
        <is>
          <t>GS2</t>
        </is>
      </c>
      <c r="G95" s="6" t="inlineStr">
        <is>
          <t>Federalism &amp; Polity</t>
        </is>
      </c>
      <c r="H95" s="8" t="inlineStr">
        <is>
          <t>Governor's Discretionary Powers under Article 200 and Bill Assent Deadlocks</t>
        </is>
      </c>
      <c r="I95" s="9" t="inlineStr">
        <is>
          <t>The Supreme Court clarified that Governors cannot sit indefinitely on bills passed by elected state legislatures, reiterating constitutional conventions in Punjab and Tamil Nadu cases.</t>
        </is>
      </c>
      <c r="J95" s="9" t="inlineStr">
        <is>
          <t>Supreme Court Records / Law Ministry / GS2</t>
        </is>
      </c>
      <c r="K95" s="6" t="inlineStr">
        <is>
          <t>day19-post2-governors-discretionary-powers-under-article</t>
        </is>
      </c>
      <c r="L95" s="10" t="inlineStr">
        <is>
          <t>Planned</t>
        </is>
      </c>
      <c r="M95" s="6" t="inlineStr"/>
    </row>
    <row r="96" ht="52" customHeight="1">
      <c r="A96" s="4" t="n">
        <v>93</v>
      </c>
      <c r="B96" s="5" t="inlineStr">
        <is>
          <t>Day 19</t>
        </is>
      </c>
      <c r="C96" s="6" t="inlineStr">
        <is>
          <t>Post 3 of 5</t>
        </is>
      </c>
      <c r="D96" s="6" t="inlineStr">
        <is>
          <t>2026-10-24</t>
        </is>
      </c>
      <c r="E96" s="6" t="inlineStr">
        <is>
          <t>02:00 PM</t>
        </is>
      </c>
      <c r="F96" s="7" t="inlineStr">
        <is>
          <t>GS3</t>
        </is>
      </c>
      <c r="G96" s="6" t="inlineStr">
        <is>
          <t>Monetary Policy &amp; FinTech</t>
        </is>
      </c>
      <c r="H96" s="8" t="inlineStr">
        <is>
          <t>Central Bank Digital Currency (e-Rupee): Retail and Wholesale Pilots</t>
        </is>
      </c>
      <c r="I96" s="9" t="inlineStr">
        <is>
          <t>The RBI's digital sovereign rupee operates without commercial bank intermediary risk, slashing currency printing costs, enabling programmable subsidies, and cross-border settlement.</t>
        </is>
      </c>
      <c r="J96" s="9" t="inlineStr">
        <is>
          <t>Reserve Bank of India Bulletin / GS3</t>
        </is>
      </c>
      <c r="K96" s="6" t="inlineStr">
        <is>
          <t>day19-post3-central-bank-digital-currency-erupee</t>
        </is>
      </c>
      <c r="L96" s="10" t="inlineStr">
        <is>
          <t>Planned</t>
        </is>
      </c>
      <c r="M96" s="6" t="inlineStr"/>
    </row>
    <row r="97" ht="52" customHeight="1">
      <c r="A97" s="4" t="n">
        <v>94</v>
      </c>
      <c r="B97" s="5" t="inlineStr">
        <is>
          <t>Day 19</t>
        </is>
      </c>
      <c r="C97" s="6" t="inlineStr">
        <is>
          <t>Post 4 of 5</t>
        </is>
      </c>
      <c r="D97" s="6" t="inlineStr">
        <is>
          <t>2026-10-24</t>
        </is>
      </c>
      <c r="E97" s="6" t="inlineStr">
        <is>
          <t>05:00 PM</t>
        </is>
      </c>
      <c r="F97" s="7" t="inlineStr">
        <is>
          <t>GS3</t>
        </is>
      </c>
      <c r="G97" s="6" t="inlineStr">
        <is>
          <t>Ecology &amp; Water Rivers</t>
        </is>
      </c>
      <c r="H97" s="8" t="inlineStr">
        <is>
          <t>Namami Gange Mission: Aviral and Nirmal Dhara River Rejuvenation</t>
        </is>
      </c>
      <c r="I97" s="9" t="inlineStr">
        <is>
          <t>Integrating 400+ sewage treatment plants, industrial effluent monitoring, ghat beautification, and river dolphin conservation across the 2,525 km Ganga basin.</t>
        </is>
      </c>
      <c r="J97" s="9" t="inlineStr">
        <is>
          <t>National Mission for Clean Ganga / Jal Shakti / GS3</t>
        </is>
      </c>
      <c r="K97" s="6" t="inlineStr">
        <is>
          <t>day19-post4-namami-gange-mission-aviral-and</t>
        </is>
      </c>
      <c r="L97" s="10" t="inlineStr">
        <is>
          <t>Planned</t>
        </is>
      </c>
      <c r="M97" s="6" t="inlineStr"/>
    </row>
    <row r="98" ht="52" customHeight="1">
      <c r="A98" s="4" t="n">
        <v>95</v>
      </c>
      <c r="B98" s="5" t="inlineStr">
        <is>
          <t>Day 19</t>
        </is>
      </c>
      <c r="C98" s="6" t="inlineStr">
        <is>
          <t>Post 5 of 5</t>
        </is>
      </c>
      <c r="D98" s="6" t="inlineStr">
        <is>
          <t>2026-10-24</t>
        </is>
      </c>
      <c r="E98" s="6" t="inlineStr">
        <is>
          <t>08:00 PM</t>
        </is>
      </c>
      <c r="F98" s="11" t="inlineStr">
        <is>
          <t>GS2</t>
        </is>
      </c>
      <c r="G98" s="6" t="inlineStr">
        <is>
          <t>International Trade</t>
        </is>
      </c>
      <c r="H98" s="8" t="inlineStr">
        <is>
          <t>India-EFTA Trade &amp; Economic Partnership: $100 Billion Investment Commitment</t>
        </is>
      </c>
      <c r="I98" s="9" t="inlineStr">
        <is>
          <t>Signing with Switzerland, Norway, Iceland, and Liechtenstein, India secured a binding $100B investment over 15 years in exchange for tariff concessions on non-agricultural machinery.</t>
        </is>
      </c>
      <c r="J98" s="9" t="inlineStr">
        <is>
          <t>Ministry of Commerce and Industry / GS2</t>
        </is>
      </c>
      <c r="K98" s="6" t="inlineStr">
        <is>
          <t>day19-post5-indiaefta-trade-economic-partnership-100</t>
        </is>
      </c>
      <c r="L98" s="10" t="inlineStr">
        <is>
          <t>Planned</t>
        </is>
      </c>
      <c r="M98" s="6" t="inlineStr"/>
    </row>
    <row r="99" ht="52" customHeight="1">
      <c r="A99" s="12" t="n">
        <v>96</v>
      </c>
      <c r="B99" s="13" t="inlineStr">
        <is>
          <t>Day 20</t>
        </is>
      </c>
      <c r="C99" s="14" t="inlineStr">
        <is>
          <t>Post 1 of 5</t>
        </is>
      </c>
      <c r="D99" s="14" t="inlineStr">
        <is>
          <t>2026-10-25</t>
        </is>
      </c>
      <c r="E99" s="14" t="inlineStr">
        <is>
          <t>08:00 AM</t>
        </is>
      </c>
      <c r="F99" s="19" t="inlineStr">
        <is>
          <t>GS1</t>
        </is>
      </c>
      <c r="G99" s="14" t="inlineStr">
        <is>
          <t>Physical Geography</t>
        </is>
      </c>
      <c r="H99" s="16" t="inlineStr">
        <is>
          <t>Western Ghats: Biodiversity Hotspot, Endemism, and Ecological Fragility</t>
        </is>
      </c>
      <c r="I99" s="17" t="inlineStr">
        <is>
          <t>Older than the Himalayas, the Sahyadri range influences Indian monsoon weather and shelters over 5,000 flowering plant species, requiring Kasturirangan report conservation zones.</t>
        </is>
      </c>
      <c r="J99" s="17" t="inlineStr">
        <is>
          <t>Botanical Survey of India / MoEFCC / GS1</t>
        </is>
      </c>
      <c r="K99" s="14" t="inlineStr">
        <is>
          <t>day20-post1-western-ghats-biodiversity-hotspot-endemism</t>
        </is>
      </c>
      <c r="L99" s="18" t="inlineStr">
        <is>
          <t>Planned</t>
        </is>
      </c>
      <c r="M99" s="14" t="inlineStr"/>
    </row>
    <row r="100" ht="52" customHeight="1">
      <c r="A100" s="12" t="n">
        <v>97</v>
      </c>
      <c r="B100" s="13" t="inlineStr">
        <is>
          <t>Day 20</t>
        </is>
      </c>
      <c r="C100" s="14" t="inlineStr">
        <is>
          <t>Post 2 of 5</t>
        </is>
      </c>
      <c r="D100" s="14" t="inlineStr">
        <is>
          <t>2026-10-25</t>
        </is>
      </c>
      <c r="E100" s="14" t="inlineStr">
        <is>
          <t>11:00 AM</t>
        </is>
      </c>
      <c r="F100" s="20" t="inlineStr">
        <is>
          <t>GS2</t>
        </is>
      </c>
      <c r="G100" s="14" t="inlineStr">
        <is>
          <t>Social Welfare &amp; Poverty</t>
        </is>
      </c>
      <c r="H100" s="16" t="inlineStr">
        <is>
          <t>NITI Aayog National Multidimensional Poverty Index: Dramatic Poverty Decline</t>
        </is>
      </c>
      <c r="I100" s="17" t="inlineStr">
        <is>
          <t>Analyzing multidimensional deprivations across health, education, and living standards, India lifted 24.8 crore people out of multidimensional poverty in 9 years.</t>
        </is>
      </c>
      <c r="J100" s="17" t="inlineStr">
        <is>
          <t>NITI Aayog / UNDP India / GS2</t>
        </is>
      </c>
      <c r="K100" s="14" t="inlineStr">
        <is>
          <t>day20-post2-niti-aayog-national-multidimensional-poverty</t>
        </is>
      </c>
      <c r="L100" s="18" t="inlineStr">
        <is>
          <t>Planned</t>
        </is>
      </c>
      <c r="M100" s="14" t="inlineStr"/>
    </row>
    <row r="101" ht="52" customHeight="1">
      <c r="A101" s="12" t="n">
        <v>98</v>
      </c>
      <c r="B101" s="13" t="inlineStr">
        <is>
          <t>Day 20</t>
        </is>
      </c>
      <c r="C101" s="14" t="inlineStr">
        <is>
          <t>Post 3 of 5</t>
        </is>
      </c>
      <c r="D101" s="14" t="inlineStr">
        <is>
          <t>2026-10-25</t>
        </is>
      </c>
      <c r="E101" s="14" t="inlineStr">
        <is>
          <t>02:00 PM</t>
        </is>
      </c>
      <c r="F101" s="15" t="inlineStr">
        <is>
          <t>GS3</t>
        </is>
      </c>
      <c r="G101" s="14" t="inlineStr">
        <is>
          <t>Deep Science &amp; Tech</t>
        </is>
      </c>
      <c r="H101" s="16" t="inlineStr">
        <is>
          <t>National Quantum Mission: Quantum Computing and Secure Communications</t>
        </is>
      </c>
      <c r="I101" s="17" t="inlineStr">
        <is>
          <t>With ₹6,003 crore funding, NQM develops 50-1000 qubit quantum computers, satellite-based quantum key distribution (QKD), and ultrasensitive quantum magnetometers.</t>
        </is>
      </c>
      <c r="J101" s="17" t="inlineStr">
        <is>
          <t>Department of Science and Technology / PIB / GS3</t>
        </is>
      </c>
      <c r="K101" s="14" t="inlineStr">
        <is>
          <t>day20-post3-national-quantum-mission-quantum-computing</t>
        </is>
      </c>
      <c r="L101" s="18" t="inlineStr">
        <is>
          <t>Planned</t>
        </is>
      </c>
      <c r="M101" s="14" t="inlineStr"/>
    </row>
    <row r="102" ht="52" customHeight="1">
      <c r="A102" s="12" t="n">
        <v>99</v>
      </c>
      <c r="B102" s="13" t="inlineStr">
        <is>
          <t>Day 20</t>
        </is>
      </c>
      <c r="C102" s="14" t="inlineStr">
        <is>
          <t>Post 4 of 5</t>
        </is>
      </c>
      <c r="D102" s="14" t="inlineStr">
        <is>
          <t>2026-10-25</t>
        </is>
      </c>
      <c r="E102" s="14" t="inlineStr">
        <is>
          <t>05:00 PM</t>
        </is>
      </c>
      <c r="F102" s="15" t="inlineStr">
        <is>
          <t>GS3</t>
        </is>
      </c>
      <c r="G102" s="14" t="inlineStr">
        <is>
          <t>Renewable Energy</t>
        </is>
      </c>
      <c r="H102" s="16" t="inlineStr">
        <is>
          <t>India's 500 GW Non-Fossil Energy Target by 2030: The Green Energy Transition</t>
        </is>
      </c>
      <c r="I102" s="17" t="inlineStr">
        <is>
          <t>Rapidly scaling solar parks, ultra-mega wind corridors, and green energy open-access rules to fulfill COP26 Panchamrit pledges and decarbonize heavy industry.</t>
        </is>
      </c>
      <c r="J102" s="17" t="inlineStr">
        <is>
          <t>Central Electricity Authority / MNRE / GS3</t>
        </is>
      </c>
      <c r="K102" s="14" t="inlineStr">
        <is>
          <t>day20-post4-indias-500-gw-nonfossil-energy</t>
        </is>
      </c>
      <c r="L102" s="18" t="inlineStr">
        <is>
          <t>Planned</t>
        </is>
      </c>
      <c r="M102" s="14" t="inlineStr"/>
    </row>
    <row r="103" ht="52" customHeight="1">
      <c r="A103" s="12" t="n">
        <v>100</v>
      </c>
      <c r="B103" s="13" t="inlineStr">
        <is>
          <t>Day 20</t>
        </is>
      </c>
      <c r="C103" s="14" t="inlineStr">
        <is>
          <t>Post 5 of 5</t>
        </is>
      </c>
      <c r="D103" s="14" t="inlineStr">
        <is>
          <t>2026-10-25</t>
        </is>
      </c>
      <c r="E103" s="14" t="inlineStr">
        <is>
          <t>08:00 PM</t>
        </is>
      </c>
      <c r="F103" s="23" t="inlineStr">
        <is>
          <t>GS4</t>
        </is>
      </c>
      <c r="G103" s="14" t="inlineStr">
        <is>
          <t>Development Ethics</t>
        </is>
      </c>
      <c r="H103" s="16" t="inlineStr">
        <is>
          <t>Development vs Displacement: Ethical Matrix in Tribal Rehabilitation</t>
        </is>
      </c>
      <c r="I103" s="17" t="inlineStr">
        <is>
          <t>Examining ethical obligations under PESA and FRA 2006 to ensure free, prior, and informed consent for Adivasi communities displaced by mega-irrigation and coal mining projects.</t>
        </is>
      </c>
      <c r="J103" s="17" t="inlineStr">
        <is>
          <t>Ministry of Tribal Affairs / Ethics Case Study / GS4</t>
        </is>
      </c>
      <c r="K103" s="14" t="inlineStr">
        <is>
          <t>day20-post5-development-vs-displacement-ethical-matrix</t>
        </is>
      </c>
      <c r="L103" s="18" t="inlineStr">
        <is>
          <t>Planned</t>
        </is>
      </c>
      <c r="M103" s="14" t="inlineStr"/>
    </row>
    <row r="104" ht="52" customHeight="1">
      <c r="A104" s="4" t="n">
        <v>101</v>
      </c>
      <c r="B104" s="5" t="inlineStr">
        <is>
          <t>Day 21</t>
        </is>
      </c>
      <c r="C104" s="6" t="inlineStr">
        <is>
          <t>Post 1 of 5</t>
        </is>
      </c>
      <c r="D104" s="6" t="inlineStr">
        <is>
          <t>2026-10-26</t>
        </is>
      </c>
      <c r="E104" s="6" t="inlineStr">
        <is>
          <t>08:00 AM</t>
        </is>
      </c>
      <c r="F104" s="21" t="inlineStr">
        <is>
          <t>GS1</t>
        </is>
      </c>
      <c r="G104" s="6" t="inlineStr">
        <is>
          <t>Culture &amp; Linguistics</t>
        </is>
      </c>
      <c r="H104" s="8" t="inlineStr">
        <is>
          <t>Classical Languages of India: Antiquity Criteria and Cultural Heritage</t>
        </is>
      </c>
      <c r="I104" s="9" t="inlineStr">
        <is>
          <t>With the inclusion of Marathi, Pali, Prakrit, Assamese, and Bengali alongside Sanskrit and Tamil, classical status honors high antiquity and distinct literary traditions.</t>
        </is>
      </c>
      <c r="J104" s="9" t="inlineStr">
        <is>
          <t>Ministry of Culture / Sahitya Akademi / GS1</t>
        </is>
      </c>
      <c r="K104" s="6" t="inlineStr">
        <is>
          <t>day21-post1-classical-languages-of-india-antiquity</t>
        </is>
      </c>
      <c r="L104" s="10" t="inlineStr">
        <is>
          <t>Planned</t>
        </is>
      </c>
      <c r="M104" s="6" t="inlineStr"/>
    </row>
    <row r="105" ht="52" customHeight="1">
      <c r="A105" s="4" t="n">
        <v>102</v>
      </c>
      <c r="B105" s="5" t="inlineStr">
        <is>
          <t>Day 21</t>
        </is>
      </c>
      <c r="C105" s="6" t="inlineStr">
        <is>
          <t>Post 2 of 5</t>
        </is>
      </c>
      <c r="D105" s="6" t="inlineStr">
        <is>
          <t>2026-10-26</t>
        </is>
      </c>
      <c r="E105" s="6" t="inlineStr">
        <is>
          <t>11:00 AM</t>
        </is>
      </c>
      <c r="F105" s="11" t="inlineStr">
        <is>
          <t>GS2</t>
        </is>
      </c>
      <c r="G105" s="6" t="inlineStr">
        <is>
          <t>Gender &amp; Parliament</t>
        </is>
      </c>
      <c r="H105" s="8" t="inlineStr">
        <is>
          <t>Nari Shakti Vandan Adhiniyam: 106th Constitutional Amendment Act</t>
        </is>
      </c>
      <c r="I105" s="9" t="inlineStr">
        <is>
          <t>Mandating 33% reservation for women in Lok Sabha and State Legislative Assemblies for 15 years, operationalized post-census delimitation to bridge gender political representation gaps.</t>
        </is>
      </c>
      <c r="J105" s="9" t="inlineStr">
        <is>
          <t>Ministry of Law and Justice / Gazette / GS2</t>
        </is>
      </c>
      <c r="K105" s="6" t="inlineStr">
        <is>
          <t>day21-post2-nari-shakti-vandan-adhiniyam-106th</t>
        </is>
      </c>
      <c r="L105" s="10" t="inlineStr">
        <is>
          <t>Planned</t>
        </is>
      </c>
      <c r="M105" s="6" t="inlineStr"/>
    </row>
    <row r="106" ht="52" customHeight="1">
      <c r="A106" s="4" t="n">
        <v>103</v>
      </c>
      <c r="B106" s="5" t="inlineStr">
        <is>
          <t>Day 21</t>
        </is>
      </c>
      <c r="C106" s="6" t="inlineStr">
        <is>
          <t>Post 3 of 5</t>
        </is>
      </c>
      <c r="D106" s="6" t="inlineStr">
        <is>
          <t>2026-10-26</t>
        </is>
      </c>
      <c r="E106" s="6" t="inlineStr">
        <is>
          <t>02:00 PM</t>
        </is>
      </c>
      <c r="F106" s="7" t="inlineStr">
        <is>
          <t>GS3</t>
        </is>
      </c>
      <c r="G106" s="6" t="inlineStr">
        <is>
          <t>Agriculture &amp; Welfare</t>
        </is>
      </c>
      <c r="H106" s="8" t="inlineStr">
        <is>
          <t>PM KISAN Direct Benefit Transfer: Liquidity Support for Smallholders</t>
        </is>
      </c>
      <c r="I106" s="9" t="inlineStr">
        <is>
          <t>Transferring ₹6,000 annually in three equal tranches directly to 11+ crore farmers' Aadhaar-linked accounts, PM KISAN provides timely liquidity for seeds, fertilizers, and inputs.</t>
        </is>
      </c>
      <c r="J106" s="9" t="inlineStr">
        <is>
          <t>Ministry of Agriculture / PIB / GS3</t>
        </is>
      </c>
      <c r="K106" s="6" t="inlineStr">
        <is>
          <t>day21-post3-pm-kisan-direct-benefit-transfer</t>
        </is>
      </c>
      <c r="L106" s="10" t="inlineStr">
        <is>
          <t>Planned</t>
        </is>
      </c>
      <c r="M106" s="6" t="inlineStr"/>
    </row>
    <row r="107" ht="52" customHeight="1">
      <c r="A107" s="4" t="n">
        <v>104</v>
      </c>
      <c r="B107" s="5" t="inlineStr">
        <is>
          <t>Day 21</t>
        </is>
      </c>
      <c r="C107" s="6" t="inlineStr">
        <is>
          <t>Post 4 of 5</t>
        </is>
      </c>
      <c r="D107" s="6" t="inlineStr">
        <is>
          <t>2026-10-26</t>
        </is>
      </c>
      <c r="E107" s="6" t="inlineStr">
        <is>
          <t>05:00 PM</t>
        </is>
      </c>
      <c r="F107" s="7" t="inlineStr">
        <is>
          <t>GS3</t>
        </is>
      </c>
      <c r="G107" s="6" t="inlineStr">
        <is>
          <t>Environment &amp; Ecology</t>
        </is>
      </c>
      <c r="H107" s="8" t="inlineStr">
        <is>
          <t>National Mission on Biodiversity and Human Well-Being</t>
        </is>
      </c>
      <c r="I107" s="9" t="inlineStr">
        <is>
          <t>Integrating biodiversity science with public health, agricultural resilience, and rural bio-economies to conserve agro-biodiversity and combat zoonotic disease spillovers.</t>
        </is>
      </c>
      <c r="J107" s="9" t="inlineStr">
        <is>
          <t>National Biodiversity Authority / MoEFCC / GS3</t>
        </is>
      </c>
      <c r="K107" s="6" t="inlineStr">
        <is>
          <t>day21-post4-national-mission-on-biodiversity-and</t>
        </is>
      </c>
      <c r="L107" s="10" t="inlineStr">
        <is>
          <t>Planned</t>
        </is>
      </c>
      <c r="M107" s="6" t="inlineStr"/>
    </row>
    <row r="108" ht="52" customHeight="1">
      <c r="A108" s="4" t="n">
        <v>105</v>
      </c>
      <c r="B108" s="5" t="inlineStr">
        <is>
          <t>Day 21</t>
        </is>
      </c>
      <c r="C108" s="6" t="inlineStr">
        <is>
          <t>Post 5 of 5</t>
        </is>
      </c>
      <c r="D108" s="6" t="inlineStr">
        <is>
          <t>2026-10-26</t>
        </is>
      </c>
      <c r="E108" s="6" t="inlineStr">
        <is>
          <t>08:00 PM</t>
        </is>
      </c>
      <c r="F108" s="7" t="inlineStr">
        <is>
          <t>GS3</t>
        </is>
      </c>
      <c r="G108" s="6" t="inlineStr">
        <is>
          <t>Defense &amp; Indigenous Industry</t>
        </is>
      </c>
      <c r="H108" s="8" t="inlineStr">
        <is>
          <t>Project 75I: Advanced Air-Independent Propulsion (AIP) Submarines</t>
        </is>
      </c>
      <c r="I108" s="9" t="inlineStr">
        <is>
          <t>Equipping diesel-electric submarines with fuel-cell Air-Independent Propulsion extends submerged endurance from days to weeks, countering naval threats across the Malacca Strait.</t>
        </is>
      </c>
      <c r="J108" s="9" t="inlineStr">
        <is>
          <t>Indian Navy / Ministry of Defence / GS3</t>
        </is>
      </c>
      <c r="K108" s="6" t="inlineStr">
        <is>
          <t>day21-post5-project-75i-advanced-airindependent-propulsion</t>
        </is>
      </c>
      <c r="L108" s="10" t="inlineStr">
        <is>
          <t>Planned</t>
        </is>
      </c>
      <c r="M108" s="6" t="inlineStr"/>
    </row>
    <row r="109" ht="52" customHeight="1">
      <c r="A109" s="12" t="n">
        <v>106</v>
      </c>
      <c r="B109" s="13" t="inlineStr">
        <is>
          <t>Day 22</t>
        </is>
      </c>
      <c r="C109" s="14" t="inlineStr">
        <is>
          <t>Post 1 of 5</t>
        </is>
      </c>
      <c r="D109" s="14" t="inlineStr">
        <is>
          <t>2026-10-27</t>
        </is>
      </c>
      <c r="E109" s="14" t="inlineStr">
        <is>
          <t>08:00 AM</t>
        </is>
      </c>
      <c r="F109" s="19" t="inlineStr">
        <is>
          <t>GS1</t>
        </is>
      </c>
      <c r="G109" s="14" t="inlineStr">
        <is>
          <t>Ancient Epigraphy</t>
        </is>
      </c>
      <c r="H109" s="16" t="inlineStr">
        <is>
          <t>Ashokan Edicts: Moral Governance, Dhamma, and Ancient Inscriptions</t>
        </is>
      </c>
      <c r="I109" s="17" t="inlineStr">
        <is>
          <t>Carved on rock faces and polished monolithic pillars in Prakrit, Greek, and Aramaic, Ashoka's edicts renounced aggressive warfare in favor of non-violence and public welfare.</t>
        </is>
      </c>
      <c r="J109" s="17" t="inlineStr">
        <is>
          <t>Archaeological Survey of India / GS1</t>
        </is>
      </c>
      <c r="K109" s="14" t="inlineStr">
        <is>
          <t>day22-post1-ashokan-edicts-moral-governance-dhamma</t>
        </is>
      </c>
      <c r="L109" s="18" t="inlineStr">
        <is>
          <t>Planned</t>
        </is>
      </c>
      <c r="M109" s="14" t="inlineStr"/>
    </row>
    <row r="110" ht="52" customHeight="1">
      <c r="A110" s="12" t="n">
        <v>107</v>
      </c>
      <c r="B110" s="13" t="inlineStr">
        <is>
          <t>Day 22</t>
        </is>
      </c>
      <c r="C110" s="14" t="inlineStr">
        <is>
          <t>Post 2 of 5</t>
        </is>
      </c>
      <c r="D110" s="14" t="inlineStr">
        <is>
          <t>2026-10-27</t>
        </is>
      </c>
      <c r="E110" s="14" t="inlineStr">
        <is>
          <t>11:00 AM</t>
        </is>
      </c>
      <c r="F110" s="20" t="inlineStr">
        <is>
          <t>GS2</t>
        </is>
      </c>
      <c r="G110" s="14" t="inlineStr">
        <is>
          <t>Social Justice &amp; Education</t>
        </is>
      </c>
      <c r="H110" s="16" t="inlineStr">
        <is>
          <t>Right to Education (RTE) Act: Section 12(1)(c) and EWS Mandates</t>
        </is>
      </c>
      <c r="I110" s="17" t="inlineStr">
        <is>
          <t>Mandating 25% quota for disadvantaged children in private non-minority schools, examining fee-reimbursement delays and learning outcome disparities across states.</t>
        </is>
      </c>
      <c r="J110" s="17" t="inlineStr">
        <is>
          <t>Ministry of Education / NCPCR / GS2</t>
        </is>
      </c>
      <c r="K110" s="14" t="inlineStr">
        <is>
          <t>day22-post2-right-to-education-rte-act</t>
        </is>
      </c>
      <c r="L110" s="18" t="inlineStr">
        <is>
          <t>Planned</t>
        </is>
      </c>
      <c r="M110" s="14" t="inlineStr"/>
    </row>
    <row r="111" ht="52" customHeight="1">
      <c r="A111" s="12" t="n">
        <v>108</v>
      </c>
      <c r="B111" s="13" t="inlineStr">
        <is>
          <t>Day 22</t>
        </is>
      </c>
      <c r="C111" s="14" t="inlineStr">
        <is>
          <t>Post 3 of 5</t>
        </is>
      </c>
      <c r="D111" s="14" t="inlineStr">
        <is>
          <t>2026-10-27</t>
        </is>
      </c>
      <c r="E111" s="14" t="inlineStr">
        <is>
          <t>02:00 PM</t>
        </is>
      </c>
      <c r="F111" s="15" t="inlineStr">
        <is>
          <t>GS3</t>
        </is>
      </c>
      <c r="G111" s="14" t="inlineStr">
        <is>
          <t>Telecom &amp; Digital Tech</t>
        </is>
      </c>
      <c r="H111" s="16" t="inlineStr">
        <is>
          <t>Bharat 6G Vision: Terahertz Waves and Indigenous Telecom Patents</t>
        </is>
      </c>
      <c r="I111" s="17" t="inlineStr">
        <is>
          <t>Setting up the Bharat 6G Alliance, India aims to shape international 6G standards, terahertz wireless, and intelligent network architecture, avoiding foreign tech dependencies.</t>
        </is>
      </c>
      <c r="J111" s="17" t="inlineStr">
        <is>
          <t>Department of Telecommunications / PIB / GS3</t>
        </is>
      </c>
      <c r="K111" s="14" t="inlineStr">
        <is>
          <t>day22-post3-bharat-6g-vision-terahertz-waves</t>
        </is>
      </c>
      <c r="L111" s="18" t="inlineStr">
        <is>
          <t>Planned</t>
        </is>
      </c>
      <c r="M111" s="14" t="inlineStr"/>
    </row>
    <row r="112" ht="52" customHeight="1">
      <c r="A112" s="12" t="n">
        <v>109</v>
      </c>
      <c r="B112" s="13" t="inlineStr">
        <is>
          <t>Day 22</t>
        </is>
      </c>
      <c r="C112" s="14" t="inlineStr">
        <is>
          <t>Post 4 of 5</t>
        </is>
      </c>
      <c r="D112" s="14" t="inlineStr">
        <is>
          <t>2026-10-27</t>
        </is>
      </c>
      <c r="E112" s="14" t="inlineStr">
        <is>
          <t>05:00 PM</t>
        </is>
      </c>
      <c r="F112" s="15" t="inlineStr">
        <is>
          <t>GS3</t>
        </is>
      </c>
      <c r="G112" s="14" t="inlineStr">
        <is>
          <t>Wetlands &amp; Ecology</t>
        </is>
      </c>
      <c r="H112" s="16" t="inlineStr">
        <is>
          <t>Ramsar Wetlands of India: Expansion to 85+ Sites of International Importance</t>
        </is>
      </c>
      <c r="I112" s="17" t="inlineStr">
        <is>
          <t>Conserving fragile hydrological sponges from Tamil Nadu's bird sanctuaries to Ladakh's high-altitude Tso Kar, Ramsar designation enforces eco-sensitive buffer protections.</t>
        </is>
      </c>
      <c r="J112" s="17" t="inlineStr">
        <is>
          <t>MoEFCC / Ramsar Convention Secretariat / GS3</t>
        </is>
      </c>
      <c r="K112" s="14" t="inlineStr">
        <is>
          <t>day22-post4-ramsar-wetlands-of-india-expansion</t>
        </is>
      </c>
      <c r="L112" s="18" t="inlineStr">
        <is>
          <t>Planned</t>
        </is>
      </c>
      <c r="M112" s="14" t="inlineStr"/>
    </row>
    <row r="113" ht="52" customHeight="1">
      <c r="A113" s="12" t="n">
        <v>110</v>
      </c>
      <c r="B113" s="13" t="inlineStr">
        <is>
          <t>Day 22</t>
        </is>
      </c>
      <c r="C113" s="14" t="inlineStr">
        <is>
          <t>Post 5 of 5</t>
        </is>
      </c>
      <c r="D113" s="14" t="inlineStr">
        <is>
          <t>2026-10-27</t>
        </is>
      </c>
      <c r="E113" s="14" t="inlineStr">
        <is>
          <t>08:00 PM</t>
        </is>
      </c>
      <c r="F113" s="20" t="inlineStr">
        <is>
          <t>GS2</t>
        </is>
      </c>
      <c r="G113" s="14" t="inlineStr">
        <is>
          <t>International Relations</t>
        </is>
      </c>
      <c r="H113" s="16" t="inlineStr">
        <is>
          <t>Shanghai Cooperation Organisation (SCO): Strategic Autonomy in Eurasia</t>
        </is>
      </c>
      <c r="I113" s="17" t="inlineStr">
        <is>
          <t>Balancing counter-terrorism cooperation under RATS with regional connectivity and security dialogue, maintaining independent diplomatic equilibrium across Eurasian powers.</t>
        </is>
      </c>
      <c r="J113" s="17" t="inlineStr">
        <is>
          <t>Ministry of External Affairs / SCO / GS2</t>
        </is>
      </c>
      <c r="K113" s="14" t="inlineStr">
        <is>
          <t>day22-post5-shanghai-cooperation-organisation-sco-strategic</t>
        </is>
      </c>
      <c r="L113" s="18" t="inlineStr">
        <is>
          <t>Planned</t>
        </is>
      </c>
      <c r="M113" s="14" t="inlineStr"/>
    </row>
    <row r="114" ht="52" customHeight="1">
      <c r="A114" s="4" t="n">
        <v>111</v>
      </c>
      <c r="B114" s="5" t="inlineStr">
        <is>
          <t>Day 23</t>
        </is>
      </c>
      <c r="C114" s="6" t="inlineStr">
        <is>
          <t>Post 1 of 5</t>
        </is>
      </c>
      <c r="D114" s="6" t="inlineStr">
        <is>
          <t>2026-10-28</t>
        </is>
      </c>
      <c r="E114" s="6" t="inlineStr">
        <is>
          <t>08:00 AM</t>
        </is>
      </c>
      <c r="F114" s="21" t="inlineStr">
        <is>
          <t>GS1</t>
        </is>
      </c>
      <c r="G114" s="6" t="inlineStr">
        <is>
          <t>Medieval Sculpture</t>
        </is>
      </c>
      <c r="H114" s="8" t="inlineStr">
        <is>
          <t>Chola Bronzes: Nataraja Cosmic Dance and Cire-Perdue Casting</t>
        </is>
      </c>
      <c r="I114" s="9" t="inlineStr">
        <is>
          <t>The lost-wax casting technique under the Chola dynasty produced the iconic Nataraja, symbolizing the cosmic cycle of creation (srishti) and dissolution (samhara).</t>
        </is>
      </c>
      <c r="J114" s="9" t="inlineStr">
        <is>
          <t>National Museum / Tamil Nadu Archaeology / GS1</t>
        </is>
      </c>
      <c r="K114" s="6" t="inlineStr">
        <is>
          <t>day23-post1-chola-bronzes-nataraja-cosmic-dance</t>
        </is>
      </c>
      <c r="L114" s="10" t="inlineStr">
        <is>
          <t>Planned</t>
        </is>
      </c>
      <c r="M114" s="6" t="inlineStr"/>
    </row>
    <row r="115" ht="52" customHeight="1">
      <c r="A115" s="4" t="n">
        <v>112</v>
      </c>
      <c r="B115" s="5" t="inlineStr">
        <is>
          <t>Day 23</t>
        </is>
      </c>
      <c r="C115" s="6" t="inlineStr">
        <is>
          <t>Post 2 of 5</t>
        </is>
      </c>
      <c r="D115" s="6" t="inlineStr">
        <is>
          <t>2026-10-28</t>
        </is>
      </c>
      <c r="E115" s="6" t="inlineStr">
        <is>
          <t>11:00 AM</t>
        </is>
      </c>
      <c r="F115" s="11" t="inlineStr">
        <is>
          <t>GS2</t>
        </is>
      </c>
      <c r="G115" s="6" t="inlineStr">
        <is>
          <t>Anti-Corruption &amp; Governance</t>
        </is>
      </c>
      <c r="H115" s="8" t="inlineStr">
        <is>
          <t>Central Vigilance Commission (CVC): Anti-Corruption Architecture</t>
        </is>
      </c>
      <c r="I115" s="9" t="inlineStr">
        <is>
          <t>Created on the Santhanam Committee recommendations, the CVC exercises statutory superintendence over the CBI for corruption probes involving central government servants.</t>
        </is>
      </c>
      <c r="J115" s="9" t="inlineStr">
        <is>
          <t>Central Vigilance Commission / DoPT / GS2</t>
        </is>
      </c>
      <c r="K115" s="6" t="inlineStr">
        <is>
          <t>day23-post2-central-vigilance-commission-cvc-anticorruption</t>
        </is>
      </c>
      <c r="L115" s="10" t="inlineStr">
        <is>
          <t>Planned</t>
        </is>
      </c>
      <c r="M115" s="6" t="inlineStr"/>
    </row>
    <row r="116" ht="52" customHeight="1">
      <c r="A116" s="4" t="n">
        <v>113</v>
      </c>
      <c r="B116" s="5" t="inlineStr">
        <is>
          <t>Day 23</t>
        </is>
      </c>
      <c r="C116" s="6" t="inlineStr">
        <is>
          <t>Post 3 of 5</t>
        </is>
      </c>
      <c r="D116" s="6" t="inlineStr">
        <is>
          <t>2026-10-28</t>
        </is>
      </c>
      <c r="E116" s="6" t="inlineStr">
        <is>
          <t>02:00 PM</t>
        </is>
      </c>
      <c r="F116" s="7" t="inlineStr">
        <is>
          <t>GS3</t>
        </is>
      </c>
      <c r="G116" s="6" t="inlineStr">
        <is>
          <t>Logistics &amp; Trade</t>
        </is>
      </c>
      <c r="H116" s="8" t="inlineStr">
        <is>
          <t>National Logistics Policy (NLP) &amp; Unified Logistics Interface Platform</t>
        </is>
      </c>
      <c r="I116" s="9" t="inlineStr">
        <is>
          <t>Integrating 30+ logistics systems across customs, railways, and ports, ULIP provides real-time container tracking, eliminating paper clearance bottlenecks and demurrage.</t>
        </is>
      </c>
      <c r="J116" s="9" t="inlineStr">
        <is>
          <t>DPIIT / Ministry of Commerce / GS3</t>
        </is>
      </c>
      <c r="K116" s="6" t="inlineStr">
        <is>
          <t>day23-post3-national-logistics-policy-nlp-unified</t>
        </is>
      </c>
      <c r="L116" s="10" t="inlineStr">
        <is>
          <t>Planned</t>
        </is>
      </c>
      <c r="M116" s="6" t="inlineStr"/>
    </row>
    <row r="117" ht="52" customHeight="1">
      <c r="A117" s="4" t="n">
        <v>114</v>
      </c>
      <c r="B117" s="5" t="inlineStr">
        <is>
          <t>Day 23</t>
        </is>
      </c>
      <c r="C117" s="6" t="inlineStr">
        <is>
          <t>Post 4 of 5</t>
        </is>
      </c>
      <c r="D117" s="6" t="inlineStr">
        <is>
          <t>2026-10-28</t>
        </is>
      </c>
      <c r="E117" s="6" t="inlineStr">
        <is>
          <t>05:00 PM</t>
        </is>
      </c>
      <c r="F117" s="7" t="inlineStr">
        <is>
          <t>GS3</t>
        </is>
      </c>
      <c r="G117" s="6" t="inlineStr">
        <is>
          <t>Disaster Management</t>
        </is>
      </c>
      <c r="H117" s="8" t="inlineStr">
        <is>
          <t>Glacial Lake Outburst Floods (GLOF) Early Warning Systems in the Himalayas</t>
        </is>
      </c>
      <c r="I117" s="9" t="inlineStr">
        <is>
          <t>Deploying automated weather stations and lake-level sensors at South Lhonak and vulnerable moraine-dammed lakes to alert downstream hydropower dams and valley settlements.</t>
        </is>
      </c>
      <c r="J117" s="9" t="inlineStr">
        <is>
          <t>National Disaster Management Authority / NDMA / GS3</t>
        </is>
      </c>
      <c r="K117" s="6" t="inlineStr">
        <is>
          <t>day23-post4-glacial-lake-outburst-floods-glof</t>
        </is>
      </c>
      <c r="L117" s="10" t="inlineStr">
        <is>
          <t>Planned</t>
        </is>
      </c>
      <c r="M117" s="6" t="inlineStr"/>
    </row>
    <row r="118" ht="52" customHeight="1">
      <c r="A118" s="4" t="n">
        <v>115</v>
      </c>
      <c r="B118" s="5" t="inlineStr">
        <is>
          <t>Day 23</t>
        </is>
      </c>
      <c r="C118" s="6" t="inlineStr">
        <is>
          <t>Post 5 of 5</t>
        </is>
      </c>
      <c r="D118" s="6" t="inlineStr">
        <is>
          <t>2026-10-28</t>
        </is>
      </c>
      <c r="E118" s="6" t="inlineStr">
        <is>
          <t>08:00 PM</t>
        </is>
      </c>
      <c r="F118" s="22" t="inlineStr">
        <is>
          <t>GS4</t>
        </is>
      </c>
      <c r="G118" s="6" t="inlineStr">
        <is>
          <t>Corporate &amp; Financial Ethics</t>
        </is>
      </c>
      <c r="H118" s="8" t="inlineStr">
        <is>
          <t>Conflict of Interest in Regulatory Watchdogs: SEBI and RBI Guidelines</t>
        </is>
      </c>
      <c r="I118" s="9" t="inlineStr">
        <is>
          <t>Case study analyzing how statutory disclosure, recusal protocols, and blind trusts prevent personal pecuniary interests from compromising securities market oversight.</t>
        </is>
      </c>
      <c r="J118" s="9" t="inlineStr">
        <is>
          <t>Securities and Exchange Board of India / GS4</t>
        </is>
      </c>
      <c r="K118" s="6" t="inlineStr">
        <is>
          <t>day23-post5-conflict-of-interest-in-regulatory</t>
        </is>
      </c>
      <c r="L118" s="10" t="inlineStr">
        <is>
          <t>Planned</t>
        </is>
      </c>
      <c r="M118" s="6" t="inlineStr"/>
    </row>
    <row r="119" ht="52" customHeight="1">
      <c r="A119" s="12" t="n">
        <v>116</v>
      </c>
      <c r="B119" s="13" t="inlineStr">
        <is>
          <t>Day 24</t>
        </is>
      </c>
      <c r="C119" s="14" t="inlineStr">
        <is>
          <t>Post 1 of 5</t>
        </is>
      </c>
      <c r="D119" s="14" t="inlineStr">
        <is>
          <t>2026-10-29</t>
        </is>
      </c>
      <c r="E119" s="14" t="inlineStr">
        <is>
          <t>08:00 AM</t>
        </is>
      </c>
      <c r="F119" s="19" t="inlineStr">
        <is>
          <t>GS1</t>
        </is>
      </c>
      <c r="G119" s="14" t="inlineStr">
        <is>
          <t>Traditional Craft</t>
        </is>
      </c>
      <c r="H119" s="16" t="inlineStr">
        <is>
          <t>Geographical Indications (GI) Registry: Protecting Indigenous Artisanship</t>
        </is>
      </c>
      <c r="I119" s="17" t="inlineStr">
        <is>
          <t>From Kashmir Pashmina and Pochampally Ikat to Darjeeling Tea, GI tags safeguard intellectual property, preserve artisan livelihoods, and prevent substandard counterfeit exports.</t>
        </is>
      </c>
      <c r="J119" s="17" t="inlineStr">
        <is>
          <t>DPIIT / GI Registry Chennai / GS1</t>
        </is>
      </c>
      <c r="K119" s="14" t="inlineStr">
        <is>
          <t>day24-post1-geographical-indications-gi-registry-protecting</t>
        </is>
      </c>
      <c r="L119" s="18" t="inlineStr">
        <is>
          <t>Planned</t>
        </is>
      </c>
      <c r="M119" s="14" t="inlineStr"/>
    </row>
    <row r="120" ht="52" customHeight="1">
      <c r="A120" s="12" t="n">
        <v>117</v>
      </c>
      <c r="B120" s="13" t="inlineStr">
        <is>
          <t>Day 24</t>
        </is>
      </c>
      <c r="C120" s="14" t="inlineStr">
        <is>
          <t>Post 2 of 5</t>
        </is>
      </c>
      <c r="D120" s="14" t="inlineStr">
        <is>
          <t>2026-10-29</t>
        </is>
      </c>
      <c r="E120" s="14" t="inlineStr">
        <is>
          <t>11:00 AM</t>
        </is>
      </c>
      <c r="F120" s="20" t="inlineStr">
        <is>
          <t>GS2</t>
        </is>
      </c>
      <c r="G120" s="14" t="inlineStr">
        <is>
          <t>Human Rights &amp; Institutions</t>
        </is>
      </c>
      <c r="H120" s="16" t="inlineStr">
        <is>
          <t>National Human Rights Commission (NHRC) and Paris Principles Compliance</t>
        </is>
      </c>
      <c r="I120" s="17" t="inlineStr">
        <is>
          <t>Evaluating NHRC powers under the Protection of Human Rights Act 1993, prison reform visits, custodial death investigations, and international accreditation criteria.</t>
        </is>
      </c>
      <c r="J120" s="17" t="inlineStr">
        <is>
          <t>National Human Rights Commission / MHA / GS2</t>
        </is>
      </c>
      <c r="K120" s="14" t="inlineStr">
        <is>
          <t>day24-post2-national-human-rights-commission-nhrc</t>
        </is>
      </c>
      <c r="L120" s="18" t="inlineStr">
        <is>
          <t>Planned</t>
        </is>
      </c>
      <c r="M120" s="14" t="inlineStr"/>
    </row>
    <row r="121" ht="52" customHeight="1">
      <c r="A121" s="12" t="n">
        <v>118</v>
      </c>
      <c r="B121" s="13" t="inlineStr">
        <is>
          <t>Day 24</t>
        </is>
      </c>
      <c r="C121" s="14" t="inlineStr">
        <is>
          <t>Post 3 of 5</t>
        </is>
      </c>
      <c r="D121" s="14" t="inlineStr">
        <is>
          <t>2026-10-29</t>
        </is>
      </c>
      <c r="E121" s="14" t="inlineStr">
        <is>
          <t>02:00 PM</t>
        </is>
      </c>
      <c r="F121" s="15" t="inlineStr">
        <is>
          <t>GS3</t>
        </is>
      </c>
      <c r="G121" s="14" t="inlineStr">
        <is>
          <t>Artificial Intelligence</t>
        </is>
      </c>
      <c r="H121" s="16" t="inlineStr">
        <is>
          <t>IndiaAI Mission: Sovereign GPU Infrastructure and Foundational Models</t>
        </is>
      </c>
      <c r="I121" s="17" t="inlineStr">
        <is>
          <t>Investing ₹10,372 crore to build a public computing grid of 10,000+ GPUs, train multi-lingual foundational models, and finance AI startups targeting healthcare and agriculture.</t>
        </is>
      </c>
      <c r="J121" s="17" t="inlineStr">
        <is>
          <t>MeitY / IndiaAI Programme / GS3</t>
        </is>
      </c>
      <c r="K121" s="14" t="inlineStr">
        <is>
          <t>day24-post3-indiaai-mission-sovereign-gpu-infrastructure</t>
        </is>
      </c>
      <c r="L121" s="18" t="inlineStr">
        <is>
          <t>Planned</t>
        </is>
      </c>
      <c r="M121" s="14" t="inlineStr"/>
    </row>
    <row r="122" ht="52" customHeight="1">
      <c r="A122" s="12" t="n">
        <v>119</v>
      </c>
      <c r="B122" s="13" t="inlineStr">
        <is>
          <t>Day 24</t>
        </is>
      </c>
      <c r="C122" s="14" t="inlineStr">
        <is>
          <t>Post 4 of 5</t>
        </is>
      </c>
      <c r="D122" s="14" t="inlineStr">
        <is>
          <t>2026-10-29</t>
        </is>
      </c>
      <c r="E122" s="14" t="inlineStr">
        <is>
          <t>05:00 PM</t>
        </is>
      </c>
      <c r="F122" s="15" t="inlineStr">
        <is>
          <t>GS3</t>
        </is>
      </c>
      <c r="G122" s="14" t="inlineStr">
        <is>
          <t>Wildlife Conservation</t>
        </is>
      </c>
      <c r="H122" s="16" t="inlineStr">
        <is>
          <t>Project Tiger at 50: Management Effectiveness Evaluation (MEE) of Reserves</t>
        </is>
      </c>
      <c r="I122" s="17" t="inlineStr">
        <is>
          <t>Marking 50 years of Project Tiger, scientific camera-trapping census recorded 3,682+ tigers (75% of global wild tigers), highlighting critical interstate corridor protection.</t>
        </is>
      </c>
      <c r="J122" s="17" t="inlineStr">
        <is>
          <t>National Tiger Conservation Authority / WII / GS3</t>
        </is>
      </c>
      <c r="K122" s="14" t="inlineStr">
        <is>
          <t>day24-post4-project-tiger-at-50-management</t>
        </is>
      </c>
      <c r="L122" s="18" t="inlineStr">
        <is>
          <t>Planned</t>
        </is>
      </c>
      <c r="M122" s="14" t="inlineStr"/>
    </row>
    <row r="123" ht="52" customHeight="1">
      <c r="A123" s="12" t="n">
        <v>120</v>
      </c>
      <c r="B123" s="13" t="inlineStr">
        <is>
          <t>Day 24</t>
        </is>
      </c>
      <c r="C123" s="14" t="inlineStr">
        <is>
          <t>Post 5 of 5</t>
        </is>
      </c>
      <c r="D123" s="14" t="inlineStr">
        <is>
          <t>2026-10-29</t>
        </is>
      </c>
      <c r="E123" s="14" t="inlineStr">
        <is>
          <t>08:00 PM</t>
        </is>
      </c>
      <c r="F123" s="20" t="inlineStr">
        <is>
          <t>GS2</t>
        </is>
      </c>
      <c r="G123" s="14" t="inlineStr">
        <is>
          <t>Geopolitics &amp; Indo-Pacific</t>
        </is>
      </c>
      <c r="H123" s="16" t="inlineStr">
        <is>
          <t>The Quad: Indo-Pacific Maritime Domain Awareness (IPMDA) Initiative</t>
        </is>
      </c>
      <c r="I123" s="17" t="inlineStr">
        <is>
          <t>India, US, Japan, and Australia collaborate using commercial satellite data to track illegal fishing, maritime militia movements, and dark vessels across the Indian and Pacific Oceans.</t>
        </is>
      </c>
      <c r="J123" s="17" t="inlineStr">
        <is>
          <t>Ministry of External Affairs / Quad Joint Statement / GS2</t>
        </is>
      </c>
      <c r="K123" s="14" t="inlineStr">
        <is>
          <t>day24-post5-the-quad-indopacific-maritime-domain</t>
        </is>
      </c>
      <c r="L123" s="18" t="inlineStr">
        <is>
          <t>Planned</t>
        </is>
      </c>
      <c r="M123" s="14" t="inlineStr"/>
    </row>
    <row r="124" ht="52" customHeight="1">
      <c r="A124" s="4" t="n">
        <v>121</v>
      </c>
      <c r="B124" s="5" t="inlineStr">
        <is>
          <t>Day 25</t>
        </is>
      </c>
      <c r="C124" s="6" t="inlineStr">
        <is>
          <t>Post 1 of 5</t>
        </is>
      </c>
      <c r="D124" s="6" t="inlineStr">
        <is>
          <t>2026-10-30</t>
        </is>
      </c>
      <c r="E124" s="6" t="inlineStr">
        <is>
          <t>08:00 AM</t>
        </is>
      </c>
      <c r="F124" s="21" t="inlineStr">
        <is>
          <t>GS1</t>
        </is>
      </c>
      <c r="G124" s="6" t="inlineStr">
        <is>
          <t>Social Reform</t>
        </is>
      </c>
      <c r="H124" s="8" t="inlineStr">
        <is>
          <t>Jyotirao &amp; Savitribai Phule: Pioneer of Anti-Caste and Girls' Education</t>
        </is>
      </c>
      <c r="I124" s="9" t="inlineStr">
        <is>
          <t>Establishing India's first school for girls in Bhide Wada Pune in 1848 and founding the Satyashodhak Samaj, the Phules dismantled Brahmanical hegemony and championed widow remarriage.</t>
        </is>
      </c>
      <c r="J124" s="9" t="inlineStr">
        <is>
          <t>Ministry of Social Justice / National Archives / GS1</t>
        </is>
      </c>
      <c r="K124" s="6" t="inlineStr">
        <is>
          <t>day25-post1-jyotirao-savitribai-phule-pioneer-of</t>
        </is>
      </c>
      <c r="L124" s="10" t="inlineStr">
        <is>
          <t>Planned</t>
        </is>
      </c>
      <c r="M124" s="6" t="inlineStr"/>
    </row>
    <row r="125" ht="52" customHeight="1">
      <c r="A125" s="4" t="n">
        <v>122</v>
      </c>
      <c r="B125" s="5" t="inlineStr">
        <is>
          <t>Day 25</t>
        </is>
      </c>
      <c r="C125" s="6" t="inlineStr">
        <is>
          <t>Post 2 of 5</t>
        </is>
      </c>
      <c r="D125" s="6" t="inlineStr">
        <is>
          <t>2026-10-30</t>
        </is>
      </c>
      <c r="E125" s="6" t="inlineStr">
        <is>
          <t>11:00 AM</t>
        </is>
      </c>
      <c r="F125" s="11" t="inlineStr">
        <is>
          <t>GS2</t>
        </is>
      </c>
      <c r="G125" s="6" t="inlineStr">
        <is>
          <t>Electoral &amp; Parliamentary Law</t>
        </is>
      </c>
      <c r="H125" s="8" t="inlineStr">
        <is>
          <t>Anti-Defection Law: Tenth Schedule Interpretation and Speaker Neutrality</t>
        </is>
      </c>
      <c r="I125" s="9" t="inlineStr">
        <is>
          <t>Examining Kihoto Hollohan and recent Maharashtra legislative verdicts on whether presiding officers must resolve disqualification petitions expeditiously and objectively.</t>
        </is>
      </c>
      <c r="J125" s="9" t="inlineStr">
        <is>
          <t>Supreme Court Records / Lok Sabha Secretariat / GS2</t>
        </is>
      </c>
      <c r="K125" s="6" t="inlineStr">
        <is>
          <t>day25-post2-antidefection-law-tenth-schedule-interpretation</t>
        </is>
      </c>
      <c r="L125" s="10" t="inlineStr">
        <is>
          <t>Planned</t>
        </is>
      </c>
      <c r="M125" s="6" t="inlineStr"/>
    </row>
    <row r="126" ht="52" customHeight="1">
      <c r="A126" s="4" t="n">
        <v>123</v>
      </c>
      <c r="B126" s="5" t="inlineStr">
        <is>
          <t>Day 25</t>
        </is>
      </c>
      <c r="C126" s="6" t="inlineStr">
        <is>
          <t>Post 3 of 5</t>
        </is>
      </c>
      <c r="D126" s="6" t="inlineStr">
        <is>
          <t>2026-10-30</t>
        </is>
      </c>
      <c r="E126" s="6" t="inlineStr">
        <is>
          <t>02:00 PM</t>
        </is>
      </c>
      <c r="F126" s="7" t="inlineStr">
        <is>
          <t>GS3</t>
        </is>
      </c>
      <c r="G126" s="6" t="inlineStr">
        <is>
          <t>Mining &amp; Strategic Minerals</t>
        </is>
      </c>
      <c r="H126" s="8" t="inlineStr">
        <is>
          <t>National Critical Minerals Mission: Lithium, Cobalt, and Rare Earth Security</t>
        </is>
      </c>
      <c r="I126" s="9" t="inlineStr">
        <is>
          <t>Auctions of offshore and critical mineral blocks in J&amp;K, Chhattisgarh, and Karnataka aim to secure raw materials for EV batteries, aerospace, and solar panels.</t>
        </is>
      </c>
      <c r="J126" s="9" t="inlineStr">
        <is>
          <t>Ministry of Mines / Geological Survey of India / GS3</t>
        </is>
      </c>
      <c r="K126" s="6" t="inlineStr">
        <is>
          <t>day25-post3-national-critical-minerals-mission-lithium</t>
        </is>
      </c>
      <c r="L126" s="10" t="inlineStr">
        <is>
          <t>Planned</t>
        </is>
      </c>
      <c r="M126" s="6" t="inlineStr"/>
    </row>
    <row r="127" ht="52" customHeight="1">
      <c r="A127" s="4" t="n">
        <v>124</v>
      </c>
      <c r="B127" s="5" t="inlineStr">
        <is>
          <t>Day 25</t>
        </is>
      </c>
      <c r="C127" s="6" t="inlineStr">
        <is>
          <t>Post 4 of 5</t>
        </is>
      </c>
      <c r="D127" s="6" t="inlineStr">
        <is>
          <t>2026-10-30</t>
        </is>
      </c>
      <c r="E127" s="6" t="inlineStr">
        <is>
          <t>05:00 PM</t>
        </is>
      </c>
      <c r="F127" s="7" t="inlineStr">
        <is>
          <t>GS3</t>
        </is>
      </c>
      <c r="G127" s="6" t="inlineStr">
        <is>
          <t>Waste Management &amp; Environment</t>
        </is>
      </c>
      <c r="H127" s="8" t="inlineStr">
        <is>
          <t>Plastic Waste Management Rules: Extended Producer Responsibility (EPR)</t>
        </is>
      </c>
      <c r="I127" s="9" t="inlineStr">
        <is>
          <t>Banning single-use plastics and enforcing digital EPR certificates on brand owners and packaging importers to finance formal recycling and eliminate multi-layered plastic waste.</t>
        </is>
      </c>
      <c r="J127" s="9" t="inlineStr">
        <is>
          <t>MoEFCC / Central Pollution Control Board / GS3</t>
        </is>
      </c>
      <c r="K127" s="6" t="inlineStr">
        <is>
          <t>day25-post4-plastic-waste-management-rules-extended</t>
        </is>
      </c>
      <c r="L127" s="10" t="inlineStr">
        <is>
          <t>Planned</t>
        </is>
      </c>
      <c r="M127" s="6" t="inlineStr"/>
    </row>
    <row r="128" ht="52" customHeight="1">
      <c r="A128" s="4" t="n">
        <v>125</v>
      </c>
      <c r="B128" s="5" t="inlineStr">
        <is>
          <t>Day 25</t>
        </is>
      </c>
      <c r="C128" s="6" t="inlineStr">
        <is>
          <t>Post 5 of 5</t>
        </is>
      </c>
      <c r="D128" s="6" t="inlineStr">
        <is>
          <t>2026-10-30</t>
        </is>
      </c>
      <c r="E128" s="6" t="inlineStr">
        <is>
          <t>08:00 PM</t>
        </is>
      </c>
      <c r="F128" s="22" t="inlineStr">
        <is>
          <t>GS4</t>
        </is>
      </c>
      <c r="G128" s="6" t="inlineStr">
        <is>
          <t>Administrative Ethics</t>
        </is>
      </c>
      <c r="H128" s="8" t="inlineStr">
        <is>
          <t>Public Duty vs Official Secrecy: Ethical Dilemmas Under the OSA 1923</t>
        </is>
      </c>
      <c r="I128" s="9" t="inlineStr">
        <is>
          <t>Case study analyzing how civil servants balance classified information restrictions under the colonial Official Secrets Act against moral duty to expose public health risks.</t>
        </is>
      </c>
      <c r="J128" s="9" t="inlineStr">
        <is>
          <t>Second ARC / Law Commission / GS4</t>
        </is>
      </c>
      <c r="K128" s="6" t="inlineStr">
        <is>
          <t>day25-post5-public-duty-vs-official-secrecy</t>
        </is>
      </c>
      <c r="L128" s="10" t="inlineStr">
        <is>
          <t>Planned</t>
        </is>
      </c>
      <c r="M128" s="6" t="inlineStr"/>
    </row>
    <row r="129" ht="52" customHeight="1">
      <c r="A129" s="12" t="n">
        <v>126</v>
      </c>
      <c r="B129" s="13" t="inlineStr">
        <is>
          <t>Day 26</t>
        </is>
      </c>
      <c r="C129" s="14" t="inlineStr">
        <is>
          <t>Post 1 of 5</t>
        </is>
      </c>
      <c r="D129" s="14" t="inlineStr">
        <is>
          <t>2026-10-31</t>
        </is>
      </c>
      <c r="E129" s="14" t="inlineStr">
        <is>
          <t>08:00 AM</t>
        </is>
      </c>
      <c r="F129" s="19" t="inlineStr">
        <is>
          <t>GS1</t>
        </is>
      </c>
      <c r="G129" s="14" t="inlineStr">
        <is>
          <t>Post-Independence Consolidation</t>
        </is>
      </c>
      <c r="H129" s="16" t="inlineStr">
        <is>
          <t>National Unity Day: Sardar Patel and the Integration of 565 Princely States</t>
        </is>
      </c>
      <c r="I129" s="17" t="inlineStr">
        <is>
          <t>Employing statesmanship, Privy Purses, and resolute firmness in Junagadh and Hyderabad, Sardar Patel and VP Menon unified sovereign India into a single constitutional republic.</t>
        </is>
      </c>
      <c r="J129" s="17" t="inlineStr">
        <is>
          <t>Ministry of Home Affairs / National Archives / GS1</t>
        </is>
      </c>
      <c r="K129" s="14" t="inlineStr">
        <is>
          <t>day26-post1-national-unity-day-sardar-patel</t>
        </is>
      </c>
      <c r="L129" s="18" t="inlineStr">
        <is>
          <t>Planned</t>
        </is>
      </c>
      <c r="M129" s="14" t="inlineStr"/>
    </row>
    <row r="130" ht="52" customHeight="1">
      <c r="A130" s="12" t="n">
        <v>127</v>
      </c>
      <c r="B130" s="13" t="inlineStr">
        <is>
          <t>Day 26</t>
        </is>
      </c>
      <c r="C130" s="14" t="inlineStr">
        <is>
          <t>Post 2 of 5</t>
        </is>
      </c>
      <c r="D130" s="14" t="inlineStr">
        <is>
          <t>2026-10-31</t>
        </is>
      </c>
      <c r="E130" s="14" t="inlineStr">
        <is>
          <t>11:00 AM</t>
        </is>
      </c>
      <c r="F130" s="20" t="inlineStr">
        <is>
          <t>GS2</t>
        </is>
      </c>
      <c r="G130" s="14" t="inlineStr">
        <is>
          <t>Civil Services Reforms</t>
        </is>
      </c>
      <c r="H130" s="16" t="inlineStr">
        <is>
          <t>Mission Karmayogi: Competency-Driven Civil Services Capacity Building</t>
        </is>
      </c>
      <c r="I130" s="17" t="inlineStr">
        <is>
          <t>Transitioning civil services from rules-based to roles-based performance, the iGOT Karmayogi digital platform delivers continuous online training in integrity and citizen-centric governance.</t>
        </is>
      </c>
      <c r="J130" s="17" t="inlineStr">
        <is>
          <t>DoPT / Capacity Building Commission / GS2</t>
        </is>
      </c>
      <c r="K130" s="14" t="inlineStr">
        <is>
          <t>day26-post2-mission-karmayogi-competencydriven-civil-services</t>
        </is>
      </c>
      <c r="L130" s="18" t="inlineStr">
        <is>
          <t>Planned</t>
        </is>
      </c>
      <c r="M130" s="14" t="inlineStr"/>
    </row>
    <row r="131" ht="52" customHeight="1">
      <c r="A131" s="12" t="n">
        <v>128</v>
      </c>
      <c r="B131" s="13" t="inlineStr">
        <is>
          <t>Day 26</t>
        </is>
      </c>
      <c r="C131" s="14" t="inlineStr">
        <is>
          <t>Post 3 of 5</t>
        </is>
      </c>
      <c r="D131" s="14" t="inlineStr">
        <is>
          <t>2026-10-31</t>
        </is>
      </c>
      <c r="E131" s="14" t="inlineStr">
        <is>
          <t>02:00 PM</t>
        </is>
      </c>
      <c r="F131" s="15" t="inlineStr">
        <is>
          <t>GS3</t>
        </is>
      </c>
      <c r="G131" s="14" t="inlineStr">
        <is>
          <t>Green Finance</t>
        </is>
      </c>
      <c r="H131" s="16" t="inlineStr">
        <is>
          <t>Sovereign Green Bonds: Mobilizing Domestic Capital for Decarbonization</t>
        </is>
      </c>
      <c r="I131" s="17" t="inlineStr">
        <is>
          <t>The Ministry of Finance issues rupee-denominated sovereign green bonds (SGrBs), using greenium yields to fund grid-scale solar, transmission lines, and metro rail networks.</t>
        </is>
      </c>
      <c r="J131" s="17" t="inlineStr">
        <is>
          <t>Ministry of Finance / Reserve Bank of India / GS3</t>
        </is>
      </c>
      <c r="K131" s="14" t="inlineStr">
        <is>
          <t>day26-post3-sovereign-green-bonds-mobilizing-domestic</t>
        </is>
      </c>
      <c r="L131" s="18" t="inlineStr">
        <is>
          <t>Planned</t>
        </is>
      </c>
      <c r="M131" s="14" t="inlineStr"/>
    </row>
    <row r="132" ht="52" customHeight="1">
      <c r="A132" s="12" t="n">
        <v>129</v>
      </c>
      <c r="B132" s="13" t="inlineStr">
        <is>
          <t>Day 26</t>
        </is>
      </c>
      <c r="C132" s="14" t="inlineStr">
        <is>
          <t>Post 4 of 5</t>
        </is>
      </c>
      <c r="D132" s="14" t="inlineStr">
        <is>
          <t>2026-10-31</t>
        </is>
      </c>
      <c r="E132" s="14" t="inlineStr">
        <is>
          <t>05:00 PM</t>
        </is>
      </c>
      <c r="F132" s="15" t="inlineStr">
        <is>
          <t>GS3</t>
        </is>
      </c>
      <c r="G132" s="14" t="inlineStr">
        <is>
          <t>Riverine Ecology</t>
        </is>
      </c>
      <c r="H132" s="16" t="inlineStr">
        <is>
          <t>Project Dolphin: Conserving Gangetic and Indus River Dolphins</t>
        </is>
      </c>
      <c r="I132" s="17" t="inlineStr">
        <is>
          <t>Protecting endangered blind freshwater dolphins as apex river health indicators through acoustic monitoring, anti-poaching patrols, and sustainable non-destructive fishing nets.</t>
        </is>
      </c>
      <c r="J132" s="17" t="inlineStr">
        <is>
          <t>MoEFCC / Wildlife Institute of India / GS3</t>
        </is>
      </c>
      <c r="K132" s="14" t="inlineStr">
        <is>
          <t>day26-post4-project-dolphin-conserving-gangetic-and</t>
        </is>
      </c>
      <c r="L132" s="18" t="inlineStr">
        <is>
          <t>Planned</t>
        </is>
      </c>
      <c r="M132" s="14" t="inlineStr"/>
    </row>
    <row r="133" ht="52" customHeight="1">
      <c r="A133" s="12" t="n">
        <v>130</v>
      </c>
      <c r="B133" s="13" t="inlineStr">
        <is>
          <t>Day 26</t>
        </is>
      </c>
      <c r="C133" s="14" t="inlineStr">
        <is>
          <t>Post 5 of 5</t>
        </is>
      </c>
      <c r="D133" s="14" t="inlineStr">
        <is>
          <t>2026-10-31</t>
        </is>
      </c>
      <c r="E133" s="14" t="inlineStr">
        <is>
          <t>08:00 PM</t>
        </is>
      </c>
      <c r="F133" s="15" t="inlineStr">
        <is>
          <t>GS3</t>
        </is>
      </c>
      <c r="G133" s="14" t="inlineStr">
        <is>
          <t>Cybersecurity &amp; National Defense</t>
        </is>
      </c>
      <c r="H133" s="16" t="inlineStr">
        <is>
          <t>Cybersecurity Threat Vectors: CERT-In Directives and Critical Infrastructure</t>
        </is>
      </c>
      <c r="I133" s="17" t="inlineStr">
        <is>
          <t>Mandating 6-hour incident reporting, CERT-In bolsters national cyber-defense across power grids, financial switches, and telecom nodes against advanced persistent threat (APT) groups.</t>
        </is>
      </c>
      <c r="J133" s="17" t="inlineStr">
        <is>
          <t>MeitY / CERT-In Annual Report / GS3</t>
        </is>
      </c>
      <c r="K133" s="14" t="inlineStr">
        <is>
          <t>day26-post5-cybersecurity-threat-vectors-certin-directives</t>
        </is>
      </c>
      <c r="L133" s="18" t="inlineStr">
        <is>
          <t>Planned</t>
        </is>
      </c>
      <c r="M133" s="14" t="inlineStr"/>
    </row>
    <row r="134" ht="52" customHeight="1">
      <c r="A134" s="4" t="n">
        <v>131</v>
      </c>
      <c r="B134" s="5" t="inlineStr">
        <is>
          <t>Day 27</t>
        </is>
      </c>
      <c r="C134" s="6" t="inlineStr">
        <is>
          <t>Post 1 of 5</t>
        </is>
      </c>
      <c r="D134" s="6" t="inlineStr">
        <is>
          <t>2026-11-01</t>
        </is>
      </c>
      <c r="E134" s="6" t="inlineStr">
        <is>
          <t>08:00 AM</t>
        </is>
      </c>
      <c r="F134" s="21" t="inlineStr">
        <is>
          <t>GS1</t>
        </is>
      </c>
      <c r="G134" s="6" t="inlineStr">
        <is>
          <t>Post-Independence History</t>
        </is>
      </c>
      <c r="H134" s="8" t="inlineStr">
        <is>
          <t>Linguistic Reorganisation of States: Fazal Ali Commission of 1953</t>
        </is>
      </c>
      <c r="I134" s="9" t="inlineStr">
        <is>
          <t>Following Potti Sreeramulu's hunger strike, the States Reorganisation Act 1956 harmonized linguistic aspirations with administrative unity, cementing democratic federalism.</t>
        </is>
      </c>
      <c r="J134" s="9" t="inlineStr">
        <is>
          <t>Ministry of Home Affairs / National Archives / GS1</t>
        </is>
      </c>
      <c r="K134" s="6" t="inlineStr">
        <is>
          <t>day27-post1-linguistic-reorganisation-of-states-fazal</t>
        </is>
      </c>
      <c r="L134" s="10" t="inlineStr">
        <is>
          <t>Planned</t>
        </is>
      </c>
      <c r="M134" s="6" t="inlineStr"/>
    </row>
    <row r="135" ht="52" customHeight="1">
      <c r="A135" s="4" t="n">
        <v>132</v>
      </c>
      <c r="B135" s="5" t="inlineStr">
        <is>
          <t>Day 27</t>
        </is>
      </c>
      <c r="C135" s="6" t="inlineStr">
        <is>
          <t>Post 2 of 5</t>
        </is>
      </c>
      <c r="D135" s="6" t="inlineStr">
        <is>
          <t>2026-11-01</t>
        </is>
      </c>
      <c r="E135" s="6" t="inlineStr">
        <is>
          <t>11:00 AM</t>
        </is>
      </c>
      <c r="F135" s="11" t="inlineStr">
        <is>
          <t>GS2</t>
        </is>
      </c>
      <c r="G135" s="6" t="inlineStr">
        <is>
          <t>Grassroots Democracy</t>
        </is>
      </c>
      <c r="H135" s="8" t="inlineStr">
        <is>
          <t>Social Audit Under MGNREGA: Institutionalizing Citizen Oversight</t>
        </is>
      </c>
      <c r="I135" s="9" t="inlineStr">
        <is>
          <t>Empowering Gram Sabhas to independently scrutinize muster rolls, work completion certificates, and wage disbursals, eliminating ghost beneficiaries and contractor collusion.</t>
        </is>
      </c>
      <c r="J135" s="9" t="inlineStr">
        <is>
          <t>Ministry of Rural Development / CAG / GS2</t>
        </is>
      </c>
      <c r="K135" s="6" t="inlineStr">
        <is>
          <t>day27-post2-social-audit-under-mgnrega-institutionalizing</t>
        </is>
      </c>
      <c r="L135" s="10" t="inlineStr">
        <is>
          <t>Planned</t>
        </is>
      </c>
      <c r="M135" s="6" t="inlineStr"/>
    </row>
    <row r="136" ht="52" customHeight="1">
      <c r="A136" s="4" t="n">
        <v>133</v>
      </c>
      <c r="B136" s="5" t="inlineStr">
        <is>
          <t>Day 27</t>
        </is>
      </c>
      <c r="C136" s="6" t="inlineStr">
        <is>
          <t>Post 3 of 5</t>
        </is>
      </c>
      <c r="D136" s="6" t="inlineStr">
        <is>
          <t>2026-11-01</t>
        </is>
      </c>
      <c r="E136" s="6" t="inlineStr">
        <is>
          <t>02:00 PM</t>
        </is>
      </c>
      <c r="F136" s="7" t="inlineStr">
        <is>
          <t>GS3</t>
        </is>
      </c>
      <c r="G136" s="6" t="inlineStr">
        <is>
          <t>Blue Economy &amp; Fisheries</t>
        </is>
      </c>
      <c r="H136" s="8" t="inlineStr">
        <is>
          <t>Pradhan Mantri Matsya Sampada Yojana: Modernizing India's Marine Fisheries</t>
        </is>
      </c>
      <c r="I136" s="9" t="inlineStr">
        <is>
          <t>With ₹20,050 crore outlay, PMMSY finances deep-sea fishing vessels, biofloc ponds, cold chain logistics, and sea-cage farming, transforming India into the #2 aquaculture producer.</t>
        </is>
      </c>
      <c r="J136" s="9" t="inlineStr">
        <is>
          <t>Department of Fisheries / PIB / GS3</t>
        </is>
      </c>
      <c r="K136" s="6" t="inlineStr">
        <is>
          <t>day27-post3-pradhan-mantri-matsya-sampada-yojana</t>
        </is>
      </c>
      <c r="L136" s="10" t="inlineStr">
        <is>
          <t>Planned</t>
        </is>
      </c>
      <c r="M136" s="6" t="inlineStr"/>
    </row>
    <row r="137" ht="52" customHeight="1">
      <c r="A137" s="4" t="n">
        <v>134</v>
      </c>
      <c r="B137" s="5" t="inlineStr">
        <is>
          <t>Day 27</t>
        </is>
      </c>
      <c r="C137" s="6" t="inlineStr">
        <is>
          <t>Post 4 of 5</t>
        </is>
      </c>
      <c r="D137" s="6" t="inlineStr">
        <is>
          <t>2026-11-01</t>
        </is>
      </c>
      <c r="E137" s="6" t="inlineStr">
        <is>
          <t>05:00 PM</t>
        </is>
      </c>
      <c r="F137" s="7" t="inlineStr">
        <is>
          <t>GS3</t>
        </is>
      </c>
      <c r="G137" s="6" t="inlineStr">
        <is>
          <t>Climate Action &amp; Citizen Movement</t>
        </is>
      </c>
      <c r="H137" s="8" t="inlineStr">
        <is>
          <t>Mission LiFE (Lifestyle for Environment): Sustainable Living Framework</t>
        </is>
      </c>
      <c r="I137" s="9" t="inlineStr">
        <is>
          <t>Championed at COP26, Mission LiFE mobilizes 1 billion people toward individual behavioral nudges—energy conservation, circular waste, and chemical-free diets—to curb carbon footprints.</t>
        </is>
      </c>
      <c r="J137" s="9" t="inlineStr">
        <is>
          <t>NITI Aayog / MoEFCC / GS3</t>
        </is>
      </c>
      <c r="K137" s="6" t="inlineStr">
        <is>
          <t>day27-post4-mission-life-lifestyle-for-environment</t>
        </is>
      </c>
      <c r="L137" s="10" t="inlineStr">
        <is>
          <t>Planned</t>
        </is>
      </c>
      <c r="M137" s="6" t="inlineStr"/>
    </row>
    <row r="138" ht="52" customHeight="1">
      <c r="A138" s="4" t="n">
        <v>135</v>
      </c>
      <c r="B138" s="5" t="inlineStr">
        <is>
          <t>Day 27</t>
        </is>
      </c>
      <c r="C138" s="6" t="inlineStr">
        <is>
          <t>Post 5 of 5</t>
        </is>
      </c>
      <c r="D138" s="6" t="inlineStr">
        <is>
          <t>2026-11-01</t>
        </is>
      </c>
      <c r="E138" s="6" t="inlineStr">
        <is>
          <t>08:00 PM</t>
        </is>
      </c>
      <c r="F138" s="11" t="inlineStr">
        <is>
          <t>GS2</t>
        </is>
      </c>
      <c r="G138" s="6" t="inlineStr">
        <is>
          <t>Foreign Policy</t>
        </is>
      </c>
      <c r="H138" s="8" t="inlineStr">
        <is>
          <t>India-Africa Forum Summit: Historic Induction of African Union into G20</t>
        </is>
      </c>
      <c r="I138" s="9" t="inlineStr">
        <is>
          <t>Spearheaded by India at the New Delhi G20 Summit, the African Union's permanent membership anchors Global South representation across international economic rulemaking.</t>
        </is>
      </c>
      <c r="J138" s="9" t="inlineStr">
        <is>
          <t>Ministry of External Affairs / GS2</t>
        </is>
      </c>
      <c r="K138" s="6" t="inlineStr">
        <is>
          <t>day27-post5-indiaafrica-forum-summit-historic-induction</t>
        </is>
      </c>
      <c r="L138" s="10" t="inlineStr">
        <is>
          <t>Planned</t>
        </is>
      </c>
      <c r="M138" s="6" t="inlineStr"/>
    </row>
    <row r="139" ht="52" customHeight="1">
      <c r="A139" s="12" t="n">
        <v>136</v>
      </c>
      <c r="B139" s="13" t="inlineStr">
        <is>
          <t>Day 28</t>
        </is>
      </c>
      <c r="C139" s="14" t="inlineStr">
        <is>
          <t>Post 1 of 5</t>
        </is>
      </c>
      <c r="D139" s="14" t="inlineStr">
        <is>
          <t>2026-11-02</t>
        </is>
      </c>
      <c r="E139" s="14" t="inlineStr">
        <is>
          <t>08:00 AM</t>
        </is>
      </c>
      <c r="F139" s="19" t="inlineStr">
        <is>
          <t>GS1</t>
        </is>
      </c>
      <c r="G139" s="14" t="inlineStr">
        <is>
          <t>Modern Social Reform</t>
        </is>
      </c>
      <c r="H139" s="16" t="inlineStr">
        <is>
          <t>Raja Ram Mohan Roy and the Bengal Renaissance: Abolition of Sati 1829</t>
        </is>
      </c>
      <c r="I139" s="17" t="inlineStr">
        <is>
          <t>Fusing Upanishadic monotheism with Western rationalism, Ram Mohan Roy founded the Brahmo Samaj, championing free press, women's property rights, and the Sati Regulation XVII.</t>
        </is>
      </c>
      <c r="J139" s="17" t="inlineStr">
        <is>
          <t>Ministry of Culture / National Archives / GS1</t>
        </is>
      </c>
      <c r="K139" s="14" t="inlineStr">
        <is>
          <t>day28-post1-raja-ram-mohan-roy-and</t>
        </is>
      </c>
      <c r="L139" s="18" t="inlineStr">
        <is>
          <t>Planned</t>
        </is>
      </c>
      <c r="M139" s="14" t="inlineStr"/>
    </row>
    <row r="140" ht="52" customHeight="1">
      <c r="A140" s="12" t="n">
        <v>137</v>
      </c>
      <c r="B140" s="13" t="inlineStr">
        <is>
          <t>Day 28</t>
        </is>
      </c>
      <c r="C140" s="14" t="inlineStr">
        <is>
          <t>Post 2 of 5</t>
        </is>
      </c>
      <c r="D140" s="14" t="inlineStr">
        <is>
          <t>2026-11-02</t>
        </is>
      </c>
      <c r="E140" s="14" t="inlineStr">
        <is>
          <t>11:00 AM</t>
        </is>
      </c>
      <c r="F140" s="20" t="inlineStr">
        <is>
          <t>GS2</t>
        </is>
      </c>
      <c r="G140" s="14" t="inlineStr">
        <is>
          <t>Transparency &amp; Governance</t>
        </is>
      </c>
      <c r="H140" s="16" t="inlineStr">
        <is>
          <t>RTI Act and Section 8 Exemptions: Judicial Discourse on Public Interest</t>
        </is>
      </c>
      <c r="I140" s="17" t="inlineStr">
        <is>
          <t>Examining judicial thresholds where the public interest in disclosure outweighs privacy or state secrecy exemptions, safeguarding citizens' right to inspect government decisions.</t>
        </is>
      </c>
      <c r="J140" s="17" t="inlineStr">
        <is>
          <t>Central Information Commission / SC / GS2</t>
        </is>
      </c>
      <c r="K140" s="14" t="inlineStr">
        <is>
          <t>day28-post2-rti-act-and-section-8</t>
        </is>
      </c>
      <c r="L140" s="18" t="inlineStr">
        <is>
          <t>Planned</t>
        </is>
      </c>
      <c r="M140" s="14" t="inlineStr"/>
    </row>
    <row r="141" ht="52" customHeight="1">
      <c r="A141" s="12" t="n">
        <v>138</v>
      </c>
      <c r="B141" s="13" t="inlineStr">
        <is>
          <t>Day 28</t>
        </is>
      </c>
      <c r="C141" s="14" t="inlineStr">
        <is>
          <t>Post 3 of 5</t>
        </is>
      </c>
      <c r="D141" s="14" t="inlineStr">
        <is>
          <t>2026-11-02</t>
        </is>
      </c>
      <c r="E141" s="14" t="inlineStr">
        <is>
          <t>02:00 PM</t>
        </is>
      </c>
      <c r="F141" s="15" t="inlineStr">
        <is>
          <t>GS3</t>
        </is>
      </c>
      <c r="G141" s="14" t="inlineStr">
        <is>
          <t>Railways &amp; Logistics</t>
        </is>
      </c>
      <c r="H141" s="16" t="inlineStr">
        <is>
          <t>Dedicated Freight Corridors (DFCs): Slashing Heavy Rail Transit Times</t>
        </is>
      </c>
      <c r="I141" s="17" t="inlineStr">
        <is>
          <t>Eastern and Western DFCs segregate heavy freight trains from passenger lines, enabling 100 km/h double-stack container trains and slashing logistics transit time by 50%.</t>
        </is>
      </c>
      <c r="J141" s="17" t="inlineStr">
        <is>
          <t>Ministry of Railways / DFCCIL / GS3</t>
        </is>
      </c>
      <c r="K141" s="14" t="inlineStr">
        <is>
          <t>day28-post3-dedicated-freight-corridors-dfcs-slashing</t>
        </is>
      </c>
      <c r="L141" s="18" t="inlineStr">
        <is>
          <t>Planned</t>
        </is>
      </c>
      <c r="M141" s="14" t="inlineStr"/>
    </row>
    <row r="142" ht="52" customHeight="1">
      <c r="A142" s="12" t="n">
        <v>139</v>
      </c>
      <c r="B142" s="13" t="inlineStr">
        <is>
          <t>Day 28</t>
        </is>
      </c>
      <c r="C142" s="14" t="inlineStr">
        <is>
          <t>Post 4 of 5</t>
        </is>
      </c>
      <c r="D142" s="14" t="inlineStr">
        <is>
          <t>2026-11-02</t>
        </is>
      </c>
      <c r="E142" s="14" t="inlineStr">
        <is>
          <t>05:00 PM</t>
        </is>
      </c>
      <c r="F142" s="15" t="inlineStr">
        <is>
          <t>GS3</t>
        </is>
      </c>
      <c r="G142" s="14" t="inlineStr">
        <is>
          <t>Solar Diplomacy</t>
        </is>
      </c>
      <c r="H142" s="16" t="inlineStr">
        <is>
          <t>International Solar Alliance (ISA): One Sun, One World, One Grid</t>
        </is>
      </c>
      <c r="I142" s="17" t="inlineStr">
        <is>
          <t>Headquartered in Gurugram with 120+ member nations, ISA unlocks concessional solar finance and envisions cross-border transmission grids sharing clean solar power across time zones.</t>
        </is>
      </c>
      <c r="J142" s="17" t="inlineStr">
        <is>
          <t>International Solar Alliance / MNRE / GS3</t>
        </is>
      </c>
      <c r="K142" s="14" t="inlineStr">
        <is>
          <t>day28-post4-international-solar-alliance-isa-one</t>
        </is>
      </c>
      <c r="L142" s="18" t="inlineStr">
        <is>
          <t>Planned</t>
        </is>
      </c>
      <c r="M142" s="14" t="inlineStr"/>
    </row>
    <row r="143" ht="52" customHeight="1">
      <c r="A143" s="12" t="n">
        <v>140</v>
      </c>
      <c r="B143" s="13" t="inlineStr">
        <is>
          <t>Day 28</t>
        </is>
      </c>
      <c r="C143" s="14" t="inlineStr">
        <is>
          <t>Post 5 of 5</t>
        </is>
      </c>
      <c r="D143" s="14" t="inlineStr">
        <is>
          <t>2026-11-02</t>
        </is>
      </c>
      <c r="E143" s="14" t="inlineStr">
        <is>
          <t>08:00 PM</t>
        </is>
      </c>
      <c r="F143" s="23" t="inlineStr">
        <is>
          <t>GS4</t>
        </is>
      </c>
      <c r="G143" s="14" t="inlineStr">
        <is>
          <t>Moral Courage</t>
        </is>
      </c>
      <c r="H143" s="16" t="inlineStr">
        <is>
          <t>Moral Courage and Integrity: Resisting Unethical Executive Orders</t>
        </is>
      </c>
      <c r="I143" s="17" t="inlineStr">
        <is>
          <t>Case study analyzing civil servants who exercised constitutional conscience and moral courage to uphold procurement guidelines and reject illegal patronage directives.</t>
        </is>
      </c>
      <c r="J143" s="17" t="inlineStr">
        <is>
          <t>Ethics in Governance / DoPT / GS4</t>
        </is>
      </c>
      <c r="K143" s="14" t="inlineStr">
        <is>
          <t>day28-post5-moral-courage-and-integrity-resisting</t>
        </is>
      </c>
      <c r="L143" s="18" t="inlineStr">
        <is>
          <t>Planned</t>
        </is>
      </c>
      <c r="M143" s="14" t="inlineStr"/>
    </row>
    <row r="144" ht="52" customHeight="1">
      <c r="A144" s="4" t="n">
        <v>141</v>
      </c>
      <c r="B144" s="5" t="inlineStr">
        <is>
          <t>Day 29</t>
        </is>
      </c>
      <c r="C144" s="6" t="inlineStr">
        <is>
          <t>Post 1 of 5</t>
        </is>
      </c>
      <c r="D144" s="6" t="inlineStr">
        <is>
          <t>2026-11-03</t>
        </is>
      </c>
      <c r="E144" s="6" t="inlineStr">
        <is>
          <t>08:00 AM</t>
        </is>
      </c>
      <c r="F144" s="21" t="inlineStr">
        <is>
          <t>GS1</t>
        </is>
      </c>
      <c r="G144" s="6" t="inlineStr">
        <is>
          <t>Freedom Movement</t>
        </is>
      </c>
      <c r="H144" s="8" t="inlineStr">
        <is>
          <t>Netaji Subhas Chandra Bose and the Azad Hind Fauj: Military Diplomacy</t>
        </is>
      </c>
      <c r="I144" s="9" t="inlineStr">
        <is>
          <t>Forming the Provisional Government of Azad Hind in Singapore in 1943, Netaji mobilized the INA, Rani of Jhansi Regiment, and international diplomacy to challenge British colonial rule.</t>
        </is>
      </c>
      <c r="J144" s="9" t="inlineStr">
        <is>
          <t>National Archives of India / Ministry of Culture / GS1</t>
        </is>
      </c>
      <c r="K144" s="6" t="inlineStr">
        <is>
          <t>day29-post1-netaji-subhas-chandra-bose-and</t>
        </is>
      </c>
      <c r="L144" s="10" t="inlineStr">
        <is>
          <t>Planned</t>
        </is>
      </c>
      <c r="M144" s="6" t="inlineStr"/>
    </row>
    <row r="145" ht="52" customHeight="1">
      <c r="A145" s="4" t="n">
        <v>142</v>
      </c>
      <c r="B145" s="5" t="inlineStr">
        <is>
          <t>Day 29</t>
        </is>
      </c>
      <c r="C145" s="6" t="inlineStr">
        <is>
          <t>Post 2 of 5</t>
        </is>
      </c>
      <c r="D145" s="6" t="inlineStr">
        <is>
          <t>2026-11-03</t>
        </is>
      </c>
      <c r="E145" s="6" t="inlineStr">
        <is>
          <t>11:00 AM</t>
        </is>
      </c>
      <c r="F145" s="11" t="inlineStr">
        <is>
          <t>GS2</t>
        </is>
      </c>
      <c r="G145" s="6" t="inlineStr">
        <is>
          <t>Health &amp; Social Justice</t>
        </is>
      </c>
      <c r="H145" s="8" t="inlineStr">
        <is>
          <t>National Medical Commission (NMC): Reforming Healthcare Education Standards</t>
        </is>
      </c>
      <c r="I145" s="9" t="inlineStr">
        <is>
          <t>Replacing the Medical Council of India, the NMC enforces the National Exit Test (NExT), standardized fee regulations, and accreditation to bridge rural specialist doctor deficits.</t>
        </is>
      </c>
      <c r="J145" s="9" t="inlineStr">
        <is>
          <t>Ministry of Health and Family Welfare / NMC / GS2</t>
        </is>
      </c>
      <c r="K145" s="6" t="inlineStr">
        <is>
          <t>day29-post2-national-medical-commission-nmc-reforming</t>
        </is>
      </c>
      <c r="L145" s="10" t="inlineStr">
        <is>
          <t>Planned</t>
        </is>
      </c>
      <c r="M145" s="6" t="inlineStr"/>
    </row>
    <row r="146" ht="52" customHeight="1">
      <c r="A146" s="4" t="n">
        <v>143</v>
      </c>
      <c r="B146" s="5" t="inlineStr">
        <is>
          <t>Day 29</t>
        </is>
      </c>
      <c r="C146" s="6" t="inlineStr">
        <is>
          <t>Post 3 of 5</t>
        </is>
      </c>
      <c r="D146" s="6" t="inlineStr">
        <is>
          <t>2026-11-03</t>
        </is>
      </c>
      <c r="E146" s="6" t="inlineStr">
        <is>
          <t>02:00 PM</t>
        </is>
      </c>
      <c r="F146" s="7" t="inlineStr">
        <is>
          <t>GS3</t>
        </is>
      </c>
      <c r="G146" s="6" t="inlineStr">
        <is>
          <t>Agrarian Insurance</t>
        </is>
      </c>
      <c r="H146" s="8" t="inlineStr">
        <is>
          <t>PM Fasal Bima Yojana: Drone and Satellite Crop Loss Verification</t>
        </is>
      </c>
      <c r="I146" s="9" t="inlineStr">
        <is>
          <t>Integrating YES-TECH yield estimation and WINDS weather stations, PMFBY replaced manual crop cutting experiments with satellite remote-sensing for transparent claim payouts.</t>
        </is>
      </c>
      <c r="J146" s="9" t="inlineStr">
        <is>
          <t>Ministry of Agriculture / PIB / GS3</t>
        </is>
      </c>
      <c r="K146" s="6" t="inlineStr">
        <is>
          <t>day29-post3-pm-fasal-bima-yojana-drone</t>
        </is>
      </c>
      <c r="L146" s="10" t="inlineStr">
        <is>
          <t>Planned</t>
        </is>
      </c>
      <c r="M146" s="6" t="inlineStr"/>
    </row>
    <row r="147" ht="52" customHeight="1">
      <c r="A147" s="4" t="n">
        <v>144</v>
      </c>
      <c r="B147" s="5" t="inlineStr">
        <is>
          <t>Day 29</t>
        </is>
      </c>
      <c r="C147" s="6" t="inlineStr">
        <is>
          <t>Post 4 of 5</t>
        </is>
      </c>
      <c r="D147" s="6" t="inlineStr">
        <is>
          <t>2026-11-03</t>
        </is>
      </c>
      <c r="E147" s="6" t="inlineStr">
        <is>
          <t>05:00 PM</t>
        </is>
      </c>
      <c r="F147" s="7" t="inlineStr">
        <is>
          <t>GS3</t>
        </is>
      </c>
      <c r="G147" s="6" t="inlineStr">
        <is>
          <t>Polar Science &amp; Climate</t>
        </is>
      </c>
      <c r="H147" s="8" t="inlineStr">
        <is>
          <t>Indian Antarctic and Arctic Programme: Maitri, Bharati, and Himadri</t>
        </is>
      </c>
      <c r="I147" s="9" t="inlineStr">
        <is>
          <t>Enacting the Indian Antarctic Act 2022, India conducts glaciology and deep ice-core drilling in polar stations to study past climatic fluctuations and sea-level rise.</t>
        </is>
      </c>
      <c r="J147" s="9" t="inlineStr">
        <is>
          <t>National Centre for Polar and Ocean Research / MoES / GS3</t>
        </is>
      </c>
      <c r="K147" s="6" t="inlineStr">
        <is>
          <t>day29-post4-indian-antarctic-and-arctic-programme</t>
        </is>
      </c>
      <c r="L147" s="10" t="inlineStr">
        <is>
          <t>Planned</t>
        </is>
      </c>
      <c r="M147" s="6" t="inlineStr"/>
    </row>
    <row r="148" ht="52" customHeight="1">
      <c r="A148" s="4" t="n">
        <v>145</v>
      </c>
      <c r="B148" s="5" t="inlineStr">
        <is>
          <t>Day 29</t>
        </is>
      </c>
      <c r="C148" s="6" t="inlineStr">
        <is>
          <t>Post 5 of 5</t>
        </is>
      </c>
      <c r="D148" s="6" t="inlineStr">
        <is>
          <t>2026-11-03</t>
        </is>
      </c>
      <c r="E148" s="6" t="inlineStr">
        <is>
          <t>08:00 PM</t>
        </is>
      </c>
      <c r="F148" s="11" t="inlineStr">
        <is>
          <t>GS2</t>
        </is>
      </c>
      <c r="G148" s="6" t="inlineStr">
        <is>
          <t>Defense Diplomacy</t>
        </is>
      </c>
      <c r="H148" s="8" t="inlineStr">
        <is>
          <t>India-US Critical &amp; Emerging Technology (iCET) Partnership</t>
        </is>
      </c>
      <c r="I148" s="9" t="inlineStr">
        <is>
          <t>Fostering strategic co-production in jet engines (GE F414), semiconductor supply chains, quantum research, and AI defense applications under the bilateral iCET framework.</t>
        </is>
      </c>
      <c r="J148" s="9" t="inlineStr">
        <is>
          <t>Ministry of External Affairs / GS2</t>
        </is>
      </c>
      <c r="K148" s="6" t="inlineStr">
        <is>
          <t>day29-post5-indiaus-critical-emerging-technology-icet</t>
        </is>
      </c>
      <c r="L148" s="10" t="inlineStr">
        <is>
          <t>Planned</t>
        </is>
      </c>
      <c r="M148" s="6" t="inlineStr"/>
    </row>
    <row r="149" ht="52" customHeight="1">
      <c r="A149" s="12" t="n">
        <v>146</v>
      </c>
      <c r="B149" s="13" t="inlineStr">
        <is>
          <t>Day 30</t>
        </is>
      </c>
      <c r="C149" s="14" t="inlineStr">
        <is>
          <t>Post 1 of 5</t>
        </is>
      </c>
      <c r="D149" s="14" t="inlineStr">
        <is>
          <t>2026-11-04</t>
        </is>
      </c>
      <c r="E149" s="14" t="inlineStr">
        <is>
          <t>08:00 AM</t>
        </is>
      </c>
      <c r="F149" s="19" t="inlineStr">
        <is>
          <t>GS1</t>
        </is>
      </c>
      <c r="G149" s="14" t="inlineStr">
        <is>
          <t>Constitutional History</t>
        </is>
      </c>
      <c r="H149" s="16" t="inlineStr">
        <is>
          <t>Constituent Assembly Debates: Dr. B.R. Ambedkar and the Living Constitution</t>
        </is>
      </c>
      <c r="I149" s="17" t="inlineStr">
        <is>
          <t>Deliberating over 2 years 11 months and 18 days, the Assembly reconciled diverse views on fundamental rights, directive principles, and federal autonomy into a living document.</t>
        </is>
      </c>
      <c r="J149" s="17" t="inlineStr">
        <is>
          <t>Parliament of India / Law Ministry / GS1</t>
        </is>
      </c>
      <c r="K149" s="14" t="inlineStr">
        <is>
          <t>day30-post1-constituent-assembly-debates-dr-br</t>
        </is>
      </c>
      <c r="L149" s="18" t="inlineStr">
        <is>
          <t>Planned</t>
        </is>
      </c>
      <c r="M149" s="14" t="inlineStr"/>
    </row>
    <row r="150" ht="52" customHeight="1">
      <c r="A150" s="12" t="n">
        <v>147</v>
      </c>
      <c r="B150" s="13" t="inlineStr">
        <is>
          <t>Day 30</t>
        </is>
      </c>
      <c r="C150" s="14" t="inlineStr">
        <is>
          <t>Post 2 of 5</t>
        </is>
      </c>
      <c r="D150" s="14" t="inlineStr">
        <is>
          <t>2026-11-04</t>
        </is>
      </c>
      <c r="E150" s="14" t="inlineStr">
        <is>
          <t>11:00 AM</t>
        </is>
      </c>
      <c r="F150" s="20" t="inlineStr">
        <is>
          <t>GS2</t>
        </is>
      </c>
      <c r="G150" s="14" t="inlineStr">
        <is>
          <t>Governance Metrics</t>
        </is>
      </c>
      <c r="H150" s="16" t="inlineStr">
        <is>
          <t>Good Governance Index (GGI): Benchmarking State and District Performance</t>
        </is>
      </c>
      <c r="I150" s="17" t="inlineStr">
        <is>
          <t>Assessing states across 10 sectors including agriculture, commerce, public infrastructure, and judiciary to foster competitive and cooperative federalism in service delivery.</t>
        </is>
      </c>
      <c r="J150" s="17" t="inlineStr">
        <is>
          <t>DARPG / Ministry of Personnel / GS2</t>
        </is>
      </c>
      <c r="K150" s="14" t="inlineStr">
        <is>
          <t>day30-post2-good-governance-index-ggi-benchmarking</t>
        </is>
      </c>
      <c r="L150" s="18" t="inlineStr">
        <is>
          <t>Planned</t>
        </is>
      </c>
      <c r="M150" s="14" t="inlineStr"/>
    </row>
    <row r="151" ht="52" customHeight="1">
      <c r="A151" s="12" t="n">
        <v>148</v>
      </c>
      <c r="B151" s="13" t="inlineStr">
        <is>
          <t>Day 30</t>
        </is>
      </c>
      <c r="C151" s="14" t="inlineStr">
        <is>
          <t>Post 3 of 5</t>
        </is>
      </c>
      <c r="D151" s="14" t="inlineStr">
        <is>
          <t>2026-11-04</t>
        </is>
      </c>
      <c r="E151" s="14" t="inlineStr">
        <is>
          <t>02:00 PM</t>
        </is>
      </c>
      <c r="F151" s="15" t="inlineStr">
        <is>
          <t>GS3</t>
        </is>
      </c>
      <c r="G151" s="14" t="inlineStr">
        <is>
          <t>Demography &amp; Skill Development</t>
        </is>
      </c>
      <c r="H151" s="16" t="inlineStr">
        <is>
          <t>Harnessing India's Demographic Dividend: Skill India and Future of Work</t>
        </is>
      </c>
      <c r="I151" s="17" t="inlineStr">
        <is>
          <t>With a median age of 28, India coordinates the National Skill Development Corporation (NSDC) and PMKVY 4.0 to upskill youth in Industry 4.0, green tech, and healthcare.</t>
        </is>
      </c>
      <c r="J151" s="17" t="inlineStr">
        <is>
          <t>Ministry of Skill Development / NITI Aayog / GS3</t>
        </is>
      </c>
      <c r="K151" s="14" t="inlineStr">
        <is>
          <t>day30-post3-harnessing-indias-demographic-dividend-skill</t>
        </is>
      </c>
      <c r="L151" s="18" t="inlineStr">
        <is>
          <t>Planned</t>
        </is>
      </c>
      <c r="M151" s="14" t="inlineStr"/>
    </row>
    <row r="152" ht="52" customHeight="1">
      <c r="A152" s="12" t="n">
        <v>149</v>
      </c>
      <c r="B152" s="13" t="inlineStr">
        <is>
          <t>Day 30</t>
        </is>
      </c>
      <c r="C152" s="14" t="inlineStr">
        <is>
          <t>Post 4 of 5</t>
        </is>
      </c>
      <c r="D152" s="14" t="inlineStr">
        <is>
          <t>2026-11-04</t>
        </is>
      </c>
      <c r="E152" s="14" t="inlineStr">
        <is>
          <t>05:00 PM</t>
        </is>
      </c>
      <c r="F152" s="15" t="inlineStr">
        <is>
          <t>GS3</t>
        </is>
      </c>
      <c r="G152" s="14" t="inlineStr">
        <is>
          <t>Climate Commitments</t>
        </is>
      </c>
      <c r="H152" s="16" t="inlineStr">
        <is>
          <t>India's Long-Term Low-Emission Strategy: Net Zero Target by 2070</t>
        </is>
      </c>
      <c r="I152" s="17" t="inlineStr">
        <is>
          <t>Submitted to UNFCCC, India's LT-LEDS outlines strategic pathways for deep electrification, industrial hydrogen adoption, carbon capture, and forest carbon sink expansion.</t>
        </is>
      </c>
      <c r="J152" s="17" t="inlineStr">
        <is>
          <t>MoEFCC / UNFCCC / GS3</t>
        </is>
      </c>
      <c r="K152" s="14" t="inlineStr">
        <is>
          <t>day30-post4-indias-longterm-lowemission-strategy-net</t>
        </is>
      </c>
      <c r="L152" s="18" t="inlineStr">
        <is>
          <t>Planned</t>
        </is>
      </c>
      <c r="M152" s="14" t="inlineStr"/>
    </row>
    <row r="153" ht="52" customHeight="1">
      <c r="A153" s="12" t="n">
        <v>150</v>
      </c>
      <c r="B153" s="13" t="inlineStr">
        <is>
          <t>Day 30</t>
        </is>
      </c>
      <c r="C153" s="14" t="inlineStr">
        <is>
          <t>Post 5 of 5</t>
        </is>
      </c>
      <c r="D153" s="14" t="inlineStr">
        <is>
          <t>2026-11-04</t>
        </is>
      </c>
      <c r="E153" s="14" t="inlineStr">
        <is>
          <t>08:00 PM</t>
        </is>
      </c>
      <c r="F153" s="23" t="inlineStr">
        <is>
          <t>GS4</t>
        </is>
      </c>
      <c r="G153" s="14" t="inlineStr">
        <is>
          <t>Crisis Leadership Ethics</t>
        </is>
      </c>
      <c r="H153" s="16" t="inlineStr">
        <is>
          <t>Ethical Leadership in Disaster Management: 2004 Tsunami to Modern Preparedness</t>
        </is>
      </c>
      <c r="I153" s="17" t="inlineStr">
        <is>
          <t>Case study analyzing how ethical accountability and community mobilization led to the Disaster Management Act 2005, NDMA creation, and zero-casualty cyclone evacuations.</t>
        </is>
      </c>
      <c r="J153" s="17" t="inlineStr">
        <is>
          <t>National Disaster Management Authority / GS4</t>
        </is>
      </c>
      <c r="K153" s="14" t="inlineStr">
        <is>
          <t>day30-post5-ethical-leadership-in-disaster-management</t>
        </is>
      </c>
      <c r="L153" s="18" t="inlineStr">
        <is>
          <t>Planned</t>
        </is>
      </c>
      <c r="M153" s="14" t="inlineStr"/>
    </row>
  </sheetData>
  <autoFilter ref="A3:M153"/>
  <mergeCells count="2">
    <mergeCell ref="A2:M2"/>
    <mergeCell ref="A1:M1"/>
  </mergeCells>
  <conditionalFormatting sqref="L4:L153">
    <cfRule type="cellIs" priority="1" operator="equal" dxfId="0">
      <formula>"Published"</formula>
    </cfRule>
    <cfRule type="cellIs" priority="2" operator="equal" dxfId="1">
      <formula>"Ready"</formula>
    </cfRule>
    <cfRule type="cellIs" priority="3" operator="equal" dxfId="2">
      <formula>"In Progress"</formula>
    </cfRule>
    <cfRule type="cellIs" priority="4" operator="equal" dxfId="3">
      <formula>"Planned"</formula>
    </cfRule>
  </conditionalFormatting>
  <dataValidations count="1">
    <dataValidation sqref="L4:L153" showDropDown="0" showInputMessage="0" showErrorMessage="0" allowBlank="0" type="list">
      <formula1>"Planned,In Progress,Ready,Published"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2"/>
  <sheetViews>
    <sheetView showGridLines="1" workbookViewId="0">
      <pane ySplit="2" topLeftCell="A3" activePane="bottomLeft" state="frozen"/>
      <selection pane="bottomLeft" activeCell="A1" sqref="A1"/>
    </sheetView>
  </sheetViews>
  <sheetFormatPr baseColWidth="8" defaultRowHeight="15" outlineLevelCol="0"/>
  <cols>
    <col width="10" customWidth="1" min="1" max="1"/>
    <col width="13" customWidth="1" min="2" max="2"/>
    <col width="36" customWidth="1" min="3" max="3"/>
    <col width="36" customWidth="1" min="4" max="4"/>
    <col width="36" customWidth="1" min="5" max="5"/>
    <col width="36" customWidth="1" min="6" max="6"/>
    <col width="36" customWidth="1" min="7" max="7"/>
  </cols>
  <sheetData>
    <row r="1" ht="36" customHeight="1">
      <c r="A1" s="24" t="inlineStr">
        <is>
          <t>30-DAY MASTER SCHEDULE MATRIX (5 HIGH-IMPACT DROPS / DAY = 150 POSTS)</t>
        </is>
      </c>
    </row>
    <row r="2" ht="34" customHeight="1">
      <c r="A2" s="25" t="inlineStr">
        <is>
          <t>Day</t>
        </is>
      </c>
      <c r="B2" s="25" t="inlineStr">
        <is>
          <t>Date</t>
        </is>
      </c>
      <c r="C2" s="25" t="inlineStr">
        <is>
          <t>Slot 1 (08:00 AM)
Morning Heritage / History</t>
        </is>
      </c>
      <c r="D2" s="25" t="inlineStr">
        <is>
          <t>Slot 2 (11:00 AM)
Midday Governance &amp; Polity</t>
        </is>
      </c>
      <c r="E2" s="25" t="inlineStr">
        <is>
          <t>Slot 3 (02:00 PM)
Afternoon Economy &amp; Industry</t>
        </is>
      </c>
      <c r="F2" s="25" t="inlineStr">
        <is>
          <t>Slot 4 (05:00 PM)
Evening Environment &amp; Sci-Tech</t>
        </is>
      </c>
      <c r="G2" s="25" t="inlineStr">
        <is>
          <t>Slot 5 (08:00 PM)
Prime-Time Security / IR / Ethics</t>
        </is>
      </c>
    </row>
    <row r="3" ht="62" customHeight="1">
      <c r="A3" s="26" t="inlineStr">
        <is>
          <t>Day 01</t>
        </is>
      </c>
      <c r="B3" s="27" t="inlineStr">
        <is>
          <t>2026-10-06</t>
        </is>
      </c>
      <c r="C3" s="28" t="inlineStr">
        <is>
          <t>[GS3] How food shortages reshaped India's agricultural policy
• History &amp; Economy</t>
        </is>
      </c>
      <c r="D3" s="28" t="inlineStr">
        <is>
          <t>[GS2] Kesavananda Bharati and the Basic Structure Doctrine
• Polity &amp; Constitution</t>
        </is>
      </c>
      <c r="E3" s="28" t="inlineStr">
        <is>
          <t>[GS3] 1991 Balance of Payments crisis and LPG reforms
• Economy</t>
        </is>
      </c>
      <c r="F3" s="28" t="inlineStr">
        <is>
          <t>[GS3] Aryabhata launch: India's first foray into space
• Science &amp; Tech</t>
        </is>
      </c>
      <c r="G3" s="28" t="inlineStr">
        <is>
          <t>[GS2] 1971 Liberation War and the Shimla Agreement
• International Relations</t>
        </is>
      </c>
    </row>
    <row r="4" ht="62" customHeight="1">
      <c r="A4" s="26" t="inlineStr">
        <is>
          <t>Day 02</t>
        </is>
      </c>
      <c r="B4" s="27" t="inlineStr">
        <is>
          <t>2026-10-07</t>
        </is>
      </c>
      <c r="C4" s="29" t="inlineStr">
        <is>
          <t>[GS3] Project Tiger: Launching India's flagship conservation drive
• Environment &amp; Ecology</t>
        </is>
      </c>
      <c r="D4" s="29" t="inlineStr">
        <is>
          <t>[GS1] Chipko Movement: When women hugged trees to save forests
• History &amp; Environment</t>
        </is>
      </c>
      <c r="E4" s="29" t="inlineStr">
        <is>
          <t>[GS2] Interstate river water disputes and Article 262
• Polity &amp; Governance</t>
        </is>
      </c>
      <c r="F4" s="29" t="inlineStr">
        <is>
          <t>[GS3] Operation Flood: Dr. Verghese Kurien and the White Revolution
• Agriculture &amp; Economy</t>
        </is>
      </c>
      <c r="G4" s="29" t="inlineStr">
        <is>
          <t>[GS2] Indus Waters Treaty: Surviving six decades of conflict
• International Relations</t>
        </is>
      </c>
    </row>
    <row r="5" ht="62" customHeight="1">
      <c r="A5" s="26" t="inlineStr">
        <is>
          <t>Day 03</t>
        </is>
      </c>
      <c r="B5" s="27" t="inlineStr">
        <is>
          <t>2026-10-08</t>
        </is>
      </c>
      <c r="C5" s="28" t="inlineStr">
        <is>
          <t>[GS3] Pokhran-I: India's peaceful nuclear explosion
• Science &amp; Tech</t>
        </is>
      </c>
      <c r="D5" s="28" t="inlineStr">
        <is>
          <t>[GS3] Chandrayaan-3: Conquering the lunar south pole
• Space &amp; Sci-Tech</t>
        </is>
      </c>
      <c r="E5" s="28" t="inlineStr">
        <is>
          <t>[GS3] Homi Bhabha and India's three-stage nuclear power program
• Science &amp; Tech</t>
        </is>
      </c>
      <c r="F5" s="28" t="inlineStr">
        <is>
          <t>[GS3] Dr. APJ Abdul Kalam and the Integrated Guided Missile Program
• Defense &amp; Security</t>
        </is>
      </c>
      <c r="G5" s="28" t="inlineStr">
        <is>
          <t>[GS2] Operation Cactus: Paratroopers thwart Maldives coup
• Security &amp; IR</t>
        </is>
      </c>
    </row>
    <row r="6" ht="62" customHeight="1">
      <c r="A6" s="26" t="inlineStr">
        <is>
          <t>Day 04</t>
        </is>
      </c>
      <c r="B6" s="27" t="inlineStr">
        <is>
          <t>2026-10-09</t>
        </is>
      </c>
      <c r="C6" s="29" t="inlineStr">
        <is>
          <t>[GS2] The 1975 Emergency and the assault on democratic institutions
• Polity &amp; Constitution</t>
        </is>
      </c>
      <c r="D6" s="29" t="inlineStr">
        <is>
          <t>[GS2] 44th Constitutional Amendment: Erecting guardrails against dictatorship
• Polity &amp; Governance</t>
        </is>
      </c>
      <c r="E6" s="29" t="inlineStr">
        <is>
          <t>[GS1] Sardar Vallabhbhai Patel and the integration of 565 princely states
• Modern Indian History</t>
        </is>
      </c>
      <c r="F6" s="29" t="inlineStr">
        <is>
          <t>[GS3] The 1978 currency demonetisation of high-denomination notes
• Economy</t>
        </is>
      </c>
      <c r="G6" s="29" t="inlineStr">
        <is>
          <t>[GS1] Operation Vijay 1961: Ending 451 years of Portuguese colonial rule
• Post-Independence History</t>
        </is>
      </c>
    </row>
    <row r="7" ht="62" customHeight="1">
      <c r="A7" s="26" t="inlineStr">
        <is>
          <t>Day 05</t>
        </is>
      </c>
      <c r="B7" s="27" t="inlineStr">
        <is>
          <t>2026-10-10</t>
        </is>
      </c>
      <c r="C7" s="28" t="inlineStr">
        <is>
          <t>[GS1] Birsa Munda and the Great Ulgulan tribal rebellion
• History &amp; Tribal Heritage</t>
        </is>
      </c>
      <c r="D7" s="28" t="inlineStr">
        <is>
          <t>[GS1] Dr. BR Ambedkar and the 1927 Mahad Satyagraha
• Social Justice &amp; History</t>
        </is>
      </c>
      <c r="E7" s="28" t="inlineStr">
        <is>
          <t>[GS1] The Indigo Revolt: Bengal ryots defy British planters
• Modern Indian History</t>
        </is>
      </c>
      <c r="F7" s="28" t="inlineStr">
        <is>
          <t>[GS3] Save Silent Valley: The battle for Kerala's virgin rainforest
• Environment &amp; Movements</t>
        </is>
      </c>
      <c r="G7" s="28" t="inlineStr">
        <is>
          <t>[GS2] The Right to Information Act: Empowering citizen oversight
• Governance &amp; Accountability</t>
        </is>
      </c>
    </row>
    <row r="8" ht="62" customHeight="1">
      <c r="A8" s="26" t="inlineStr">
        <is>
          <t>Day 06</t>
        </is>
      </c>
      <c r="B8" s="27" t="inlineStr">
        <is>
          <t>2026-10-11</t>
        </is>
      </c>
      <c r="C8" s="29" t="inlineStr">
        <is>
          <t>[GS3] 1969 Bank Nationalisation: Redirecting credit to rural India
• Economy &amp; Banking</t>
        </is>
      </c>
      <c r="D8" s="29" t="inlineStr">
        <is>
          <t>[GS3] Golden Quadrilateral: The highway network that united India
• Infrastructure &amp; Economy</t>
        </is>
      </c>
      <c r="E8" s="29" t="inlineStr">
        <is>
          <t>[GS3] UPI and the India Stack: Building global digital infrastructure
• Digital Economy &amp; Tech</t>
        </is>
      </c>
      <c r="F8" s="29" t="inlineStr">
        <is>
          <t>[GS1] The 1944 Bombay Plan: Industrialists proposing state-led growth
• Economic History</t>
        </is>
      </c>
      <c r="G8" s="29" t="inlineStr">
        <is>
          <t>[GS2] Chabahar Port: India's gateway bypassing land barriers
• Geopolitics &amp; Trade</t>
        </is>
      </c>
    </row>
    <row r="9" ht="62" customHeight="1">
      <c r="A9" s="26" t="inlineStr">
        <is>
          <t>Day 07</t>
        </is>
      </c>
      <c r="B9" s="27" t="inlineStr">
        <is>
          <t>2026-10-12</t>
        </is>
      </c>
      <c r="C9" s="28" t="inlineStr">
        <is>
          <t>[GS3] Operation Vijay 1999: Recapturing the heights of Kargil
• Security &amp; Defense</t>
        </is>
      </c>
      <c r="D9" s="28" t="inlineStr">
        <is>
          <t>[GS3] Operation Meghdoot: Securing Siachen at 20,000 feet
• Defense Strategy</t>
        </is>
      </c>
      <c r="E9" s="28" t="inlineStr">
        <is>
          <t>[GS2] Non-Aligned Movement: India's Cold War diplomatic autonomy
• International Relations</t>
        </is>
      </c>
      <c r="F9" s="28" t="inlineStr">
        <is>
          <t>[GS3] Project 75I: Securing underwater deterrence in the Indian Ocean
• Maritime Security</t>
        </is>
      </c>
      <c r="G9" s="28" t="inlineStr">
        <is>
          <t>[GS2] The Quad and Exercise Malabar: Indo-Pacific maritime balance
• Geopolitics &amp; Defense</t>
        </is>
      </c>
    </row>
    <row r="10" ht="62" customHeight="1">
      <c r="A10" s="26" t="inlineStr">
        <is>
          <t>Day 08</t>
        </is>
      </c>
      <c r="B10" s="27" t="inlineStr">
        <is>
          <t>2026-10-13</t>
        </is>
      </c>
      <c r="C10" s="29" t="inlineStr">
        <is>
          <t>[GS3] Target Zero: How India eradicated smallpox in 1977
• Public Health &amp; Science</t>
        </is>
      </c>
      <c r="D10" s="29" t="inlineStr">
        <is>
          <t>[GS2] Pulse Polio Programme: Delivering two drops of hope
• Health &amp; Governance</t>
        </is>
      </c>
      <c r="E10" s="29" t="inlineStr">
        <is>
          <t>[GS3] India's pharmaceutical powerhouse: From generic drugs to Vaccine Maitri
• Science, Health &amp; Economy</t>
        </is>
      </c>
      <c r="F10" s="29" t="inlineStr">
        <is>
          <t>[GS1] The 1943 Bengal Famine: Wartime policy and starvation
• Modern Indian History</t>
        </is>
      </c>
      <c r="G10" s="29" t="inlineStr">
        <is>
          <t>[GS2] Justice KS Puttaswamy: Declaring privacy a fundamental right
• Constitution &amp; Rights</t>
        </is>
      </c>
    </row>
    <row r="11" ht="62" customHeight="1">
      <c r="A11" s="26" t="inlineStr">
        <is>
          <t>Day 09</t>
        </is>
      </c>
      <c r="B11" s="27" t="inlineStr">
        <is>
          <t>2026-10-14</t>
        </is>
      </c>
      <c r="C11" s="28" t="inlineStr">
        <is>
          <t>[GS3] Bhadla Solar Park: Harvesting clean energy in the desert
• Energy &amp; Climate Change</t>
        </is>
      </c>
      <c r="D11" s="28" t="inlineStr">
        <is>
          <t>[GS3] Project Cheetah: Returning the world's fastest cat to India
• Wildlife &amp; Biodiversity</t>
        </is>
      </c>
      <c r="E11" s="28" t="inlineStr">
        <is>
          <t>[GS3] Mission Gaganyaan: India's voyage to send astronauts to orbit
• Space Exploration</t>
        </is>
      </c>
      <c r="F11" s="28" t="inlineStr">
        <is>
          <t>[GS1] 1921 Discovery of Harappa: Unearthing 5,000 years of urban planning
• Ancient History &amp; Culture</t>
        </is>
      </c>
      <c r="G11" s="28" t="inlineStr">
        <is>
          <t>[GS2] Doklam Standoff 2017: Standing resolute at the trijunction
• Border Security &amp; IR</t>
        </is>
      </c>
    </row>
    <row r="12" ht="62" customHeight="1">
      <c r="A12" s="26" t="inlineStr">
        <is>
          <t>Day 10</t>
        </is>
      </c>
      <c r="B12" s="27" t="inlineStr">
        <is>
          <t>2026-10-15</t>
        </is>
      </c>
      <c r="C12" s="29" t="inlineStr">
        <is>
          <t>[GS2] TN Seshan: The Chief Election Commissioner who curbed electoral malpractices
• Ethics &amp; Governance</t>
        </is>
      </c>
      <c r="D12" s="29" t="inlineStr">
        <is>
          <t>[GS1] Rani Gaidinliu: The spiritual leader who resisted British rule
• Freedom Struggle &amp; Culture</t>
        </is>
      </c>
      <c r="E12" s="29" t="inlineStr">
        <is>
          <t>[GS2] 73rd and 74th Amendments: Decentralizing power to local self-governments
• Governance &amp; Local Bodies</t>
        </is>
      </c>
      <c r="F12" s="29" t="inlineStr">
        <is>
          <t>[GS3] Dr. MS Swaminathan and the Green Revolution in India
• Agriculture &amp; Sci-Tech</t>
        </is>
      </c>
      <c r="G12" s="29" t="inlineStr">
        <is>
          <t>[GS2] Pokhran-II 1998: Operation Shakti and enduring global sanctions
• Defense, IR &amp; Strategy</t>
        </is>
      </c>
    </row>
    <row r="13" ht="62" customHeight="1">
      <c r="A13" s="26" t="inlineStr">
        <is>
          <t>Day 11</t>
        </is>
      </c>
      <c r="B13" s="27" t="inlineStr">
        <is>
          <t>2026-10-16</t>
        </is>
      </c>
      <c r="C13" s="28" t="inlineStr">
        <is>
          <t>[GS1] Chhatrapati Shivaji Maharaj's Maratha Military Forts &amp; UNESCO World Heritage
• Art &amp; Culture</t>
        </is>
      </c>
      <c r="D13" s="28" t="inlineStr">
        <is>
          <t>[GS2] Delimitation Commission and Article 82: Population vs Representation Debate
• Polity &amp; Constitution</t>
        </is>
      </c>
      <c r="E13" s="28" t="inlineStr">
        <is>
          <t>[GS3] PM-MITRA Mega Textile Parks: Integrated World-Class Supply Chains
• Economy &amp; Industry</t>
        </is>
      </c>
      <c r="F13" s="28" t="inlineStr">
        <is>
          <t>[GS3] Project Great Indian Bustard: Supreme Court Right to Clean Climate Landmark
• Environment &amp; Ecology</t>
        </is>
      </c>
      <c r="G13" s="28" t="inlineStr">
        <is>
          <t>[GS4] Ethical Dilemmas in Automated Law Enforcement and Facial Recognition
• Ethics &amp; Technology</t>
        </is>
      </c>
    </row>
    <row r="14" ht="62" customHeight="1">
      <c r="A14" s="26" t="inlineStr">
        <is>
          <t>Day 12</t>
        </is>
      </c>
      <c r="B14" s="27" t="inlineStr">
        <is>
          <t>2026-10-17</t>
        </is>
      </c>
      <c r="C14" s="29" t="inlineStr">
        <is>
          <t>[GS1] Dholavira Water Management: Ancient Harappan Hydraulic Engineering
• Ancient History</t>
        </is>
      </c>
      <c r="D14" s="29" t="inlineStr">
        <is>
          <t>[GS2] Bharatiya Nyaya Sanhita (BNS): Reforming Colonial Criminal Jurisprudence
• Governance &amp; Justice</t>
        </is>
      </c>
      <c r="E14" s="29" t="inlineStr">
        <is>
          <t>[GS3] India Semiconductor Mission: Silicon Fabs and ATMP Packaging in Dholera
• Science &amp; Industry</t>
        </is>
      </c>
      <c r="F14" s="29" t="inlineStr">
        <is>
          <t>[GS3] Samudrayaan &amp; Deep Ocean Mission: Matsya 6000 Submersible Exploration
• Science &amp; Oceans</t>
        </is>
      </c>
      <c r="G14" s="29" t="inlineStr">
        <is>
          <t>[GS2] India-Middle East-Europe Economic Corridor (IMEEC): Maritime-Rail Pivot
• International Relations</t>
        </is>
      </c>
    </row>
    <row r="15" ht="62" customHeight="1">
      <c r="A15" s="26" t="inlineStr">
        <is>
          <t>Day 13</t>
        </is>
      </c>
      <c r="B15" s="27" t="inlineStr">
        <is>
          <t>2026-10-18</t>
        </is>
      </c>
      <c r="C15" s="28" t="inlineStr">
        <is>
          <t>[GS1] Birsa Munda and the Ulgulan: Tribal Resistance and Land Autonomy
• Modern History</t>
        </is>
      </c>
      <c r="D15" s="28" t="inlineStr">
        <is>
          <t>[GS2] Digital Personal Data Protection (DPDP) Act 2023: Privacy Architecture
• Governance &amp; Digital Rights</t>
        </is>
      </c>
      <c r="E15" s="28" t="inlineStr">
        <is>
          <t>[GS3] National Green Hydrogen Mission: SIGHT Programme and Electrolyser Manufacturing
• Energy &amp; Climate</t>
        </is>
      </c>
      <c r="F15" s="28" t="inlineStr">
        <is>
          <t>[GS3] Cheetah Reintroduction in Kuno National Park: Inter-Continental Translocation
• Wildlife &amp; Biodiversity</t>
        </is>
      </c>
      <c r="G15" s="28" t="inlineStr">
        <is>
          <t>[GS4] Whistleblower Protection and Corporate Ethics: Lessons from Regulatory Scrutiny
• Ethics &amp; Corporate Governance</t>
        </is>
      </c>
    </row>
    <row r="16" ht="62" customHeight="1">
      <c r="A16" s="26" t="inlineStr">
        <is>
          <t>Day 14</t>
        </is>
      </c>
      <c r="B16" s="27" t="inlineStr">
        <is>
          <t>2026-10-19</t>
        </is>
      </c>
      <c r="C16" s="29" t="inlineStr">
        <is>
          <t>[GS1] Bhakti Movement and Sant Kabir: Syncretic Socio-Religious Reformation
• Medieval Culture</t>
        </is>
      </c>
      <c r="D16" s="29" t="inlineStr">
        <is>
          <t>[GS2] Supreme Court Constitution Bench Verdict on Article 370 Abrogation
• Constitution &amp; Judiciary</t>
        </is>
      </c>
      <c r="E16" s="29" t="inlineStr">
        <is>
          <t>[GS3] PM Gati Shakti National Master Plan: Integrated Multimodal Planning
• Infrastructure &amp; Logistics</t>
        </is>
      </c>
      <c r="F16" s="29" t="inlineStr">
        <is>
          <t>[GS3] MISHTI Scheme: Mangrove Conservation for Shoreline Climate Resilience
• Environment &amp; Coastal Ecology</t>
        </is>
      </c>
      <c r="G16" s="29" t="inlineStr">
        <is>
          <t>[GS3] Operation Kaveri: Humanitarian Evacuation from Civil Conflict Zones
• National Security &amp; Diplomacy</t>
        </is>
      </c>
    </row>
    <row r="17" ht="62" customHeight="1">
      <c r="A17" s="26" t="inlineStr">
        <is>
          <t>Day 15</t>
        </is>
      </c>
      <c r="B17" s="27" t="inlineStr">
        <is>
          <t>2026-10-20</t>
        </is>
      </c>
      <c r="C17" s="28" t="inlineStr">
        <is>
          <t>[GS1] Temple Architecture Styles: Nagara, Dravida, and Vesara Evolution
• Art &amp; Architecture</t>
        </is>
      </c>
      <c r="D17" s="28" t="inlineStr">
        <is>
          <t>[GS2] Inter-State River Water Disputes: Article 262 and Tribunal Stalemates
• Federalism &amp; Water Governance</t>
        </is>
      </c>
      <c r="E17" s="28" t="inlineStr">
        <is>
          <t>[GS3] UPI Global Linkages: Internationalization of India's Digital Public Infrastructure
• Financial Technology</t>
        </is>
      </c>
      <c r="F17" s="28" t="inlineStr">
        <is>
          <t>[GS3] Aditya-L1 Solar Mission: Heliophysics Research at Lagrange Point L1
• Science &amp; Space</t>
        </is>
      </c>
      <c r="G17" s="28" t="inlineStr">
        <is>
          <t>[GS4] Compassion in Civil Administration: District Collector Grievance Redressal
• Ethics &amp; Administration</t>
        </is>
      </c>
    </row>
    <row r="18" ht="62" customHeight="1">
      <c r="A18" s="26" t="inlineStr">
        <is>
          <t>Day 16</t>
        </is>
      </c>
      <c r="B18" s="27" t="inlineStr">
        <is>
          <t>2026-10-21</t>
        </is>
      </c>
      <c r="C18" s="29" t="inlineStr">
        <is>
          <t>[GS1] Indian Monsoon Dynamics: El Niño, La Niña, and the Indian Ocean Dipole
• Physical Geography</t>
        </is>
      </c>
      <c r="D18" s="29" t="inlineStr">
        <is>
          <t>[GS2] Supreme Court Struck Down Electoral Bonds: Landmark Transparency Verdict
• Electoral Reforms</t>
        </is>
      </c>
      <c r="E18" s="29" t="inlineStr">
        <is>
          <t>[GS3] Production Linked Incentive (PLI) Schemes: Driving Scale Across 14 Sectors
• Economy &amp; Manufacturing</t>
        </is>
      </c>
      <c r="F18" s="29" t="inlineStr">
        <is>
          <t>[GS3] Great Nicobar Island Infrastructure Project: Strategic vs Ecological Balance
• Environment &amp; Island Development</t>
        </is>
      </c>
      <c r="G18" s="29" t="inlineStr">
        <is>
          <t>[GS2] Voice of Global South Summit: Championing Inclusivity in Multilateral Fora
• International Relations</t>
        </is>
      </c>
    </row>
    <row r="19" ht="62" customHeight="1">
      <c r="A19" s="26" t="inlineStr">
        <is>
          <t>Day 17</t>
        </is>
      </c>
      <c r="B19" s="27" t="inlineStr">
        <is>
          <t>2026-10-22</t>
        </is>
      </c>
      <c r="C19" s="28" t="inlineStr">
        <is>
          <t>[GS1] Deccan Riots of 1875: Moneylender Exploitation and Agricultural Debt
• Modern History</t>
        </is>
      </c>
      <c r="D19" s="28" t="inlineStr">
        <is>
          <t>[GS2] Simultaneous Elections: Kovind Committee Recommendations on One Nation One Poll
• Constitutional Reforms</t>
        </is>
      </c>
      <c r="E19" s="28" t="inlineStr">
        <is>
          <t>[GS3] Insolvency and Bankruptcy Code (IBC) 2016: Resolving Stressed Assets
• Banking &amp; Economy</t>
        </is>
      </c>
      <c r="F19" s="28" t="inlineStr">
        <is>
          <t>[GS3] National Clean Air Programme (NCAP): Multi-City Air Quality Targets
• Pollution &amp; Environment</t>
        </is>
      </c>
      <c r="G19" s="28" t="inlineStr">
        <is>
          <t>[GS3] INS Vikrant: Indigenous Aircraft Carrier Commissioning and Naval Power
• Defense &amp; Self-Reliance</t>
        </is>
      </c>
    </row>
    <row r="20" ht="62" customHeight="1">
      <c r="A20" s="26" t="inlineStr">
        <is>
          <t>Day 18</t>
        </is>
      </c>
      <c r="B20" s="27" t="inlineStr">
        <is>
          <t>2026-10-23</t>
        </is>
      </c>
      <c r="C20" s="29" t="inlineStr">
        <is>
          <t>[GS1] Traditional Rainwater Harvesting: Baolis, Johads, and Zing Systems
• Heritage &amp; Geography</t>
        </is>
      </c>
      <c r="D20" s="29" t="inlineStr">
        <is>
          <t>[GS2] Tribunalisation of Justice: Judicial Independence and Article 323A/B
• Judiciary &amp; Governance</t>
        </is>
      </c>
      <c r="E20" s="29" t="inlineStr">
        <is>
          <t>[GS3] Agri-Stack &amp; Digital Public Infrastructure for Indian Farmers
• Agriculture &amp; Technology</t>
        </is>
      </c>
      <c r="F20" s="29" t="inlineStr">
        <is>
          <t>[GS3] Gaganyaan Programme: India's Indigenous Human Spaceflight Capability
• Science &amp; Space</t>
        </is>
      </c>
      <c r="G20" s="29" t="inlineStr">
        <is>
          <t>[GS4] Nolan Principles of Public Life: Selflessness and Integrity in Public Service
• Administrative Ethics</t>
        </is>
      </c>
    </row>
    <row r="21" ht="62" customHeight="1">
      <c r="A21" s="26" t="inlineStr">
        <is>
          <t>Day 19</t>
        </is>
      </c>
      <c r="B21" s="27" t="inlineStr">
        <is>
          <t>2026-10-24</t>
        </is>
      </c>
      <c r="C21" s="28" t="inlineStr">
        <is>
          <t>[GS1] Women in Indian Freedom Struggle: Matangini Hazra and Aruna Asaf Ali
• Freedom Movement</t>
        </is>
      </c>
      <c r="D21" s="28" t="inlineStr">
        <is>
          <t>[GS2] Governor's Discretionary Powers under Article 200 and Bill Assent Deadlocks
• Federalism &amp; Polity</t>
        </is>
      </c>
      <c r="E21" s="28" t="inlineStr">
        <is>
          <t>[GS3] Central Bank Digital Currency (e-Rupee): Retail and Wholesale Pilots
• Monetary Policy &amp; FinTech</t>
        </is>
      </c>
      <c r="F21" s="28" t="inlineStr">
        <is>
          <t>[GS3] Namami Gange Mission: Aviral and Nirmal Dhara River Rejuvenation
• Ecology &amp; Water Rivers</t>
        </is>
      </c>
      <c r="G21" s="28" t="inlineStr">
        <is>
          <t>[GS2] India-EFTA Trade &amp; Economic Partnership: $100 Billion Investment Commitment
• International Trade</t>
        </is>
      </c>
    </row>
    <row r="22" ht="62" customHeight="1">
      <c r="A22" s="26" t="inlineStr">
        <is>
          <t>Day 20</t>
        </is>
      </c>
      <c r="B22" s="27" t="inlineStr">
        <is>
          <t>2026-10-25</t>
        </is>
      </c>
      <c r="C22" s="29" t="inlineStr">
        <is>
          <t>[GS1] Western Ghats: Biodiversity Hotspot, Endemism, and Ecological Fragility
• Physical Geography</t>
        </is>
      </c>
      <c r="D22" s="29" t="inlineStr">
        <is>
          <t>[GS2] NITI Aayog National Multidimensional Poverty Index: Dramatic Poverty Decline
• Social Welfare &amp; Poverty</t>
        </is>
      </c>
      <c r="E22" s="29" t="inlineStr">
        <is>
          <t>[GS3] National Quantum Mission: Quantum Computing and Secure Communications
• Deep Science &amp; Tech</t>
        </is>
      </c>
      <c r="F22" s="29" t="inlineStr">
        <is>
          <t>[GS3] India's 500 GW Non-Fossil Energy Target by 2030: The Green Energy Transition
• Renewable Energy</t>
        </is>
      </c>
      <c r="G22" s="29" t="inlineStr">
        <is>
          <t>[GS4] Development vs Displacement: Ethical Matrix in Tribal Rehabilitation
• Development Ethics</t>
        </is>
      </c>
    </row>
    <row r="23" ht="62" customHeight="1">
      <c r="A23" s="26" t="inlineStr">
        <is>
          <t>Day 21</t>
        </is>
      </c>
      <c r="B23" s="27" t="inlineStr">
        <is>
          <t>2026-10-26</t>
        </is>
      </c>
      <c r="C23" s="28" t="inlineStr">
        <is>
          <t>[GS1] Classical Languages of India: Antiquity Criteria and Cultural Heritage
• Culture &amp; Linguistics</t>
        </is>
      </c>
      <c r="D23" s="28" t="inlineStr">
        <is>
          <t>[GS2] Nari Shakti Vandan Adhiniyam: 106th Constitutional Amendment Act
• Gender &amp; Parliament</t>
        </is>
      </c>
      <c r="E23" s="28" t="inlineStr">
        <is>
          <t>[GS3] PM KISAN Direct Benefit Transfer: Liquidity Support for Smallholders
• Agriculture &amp; Welfare</t>
        </is>
      </c>
      <c r="F23" s="28" t="inlineStr">
        <is>
          <t>[GS3] National Mission on Biodiversity and Human Well-Being
• Environment &amp; Ecology</t>
        </is>
      </c>
      <c r="G23" s="28" t="inlineStr">
        <is>
          <t>[GS3] Project 75I: Advanced Air-Independent Propulsion (AIP) Submarines
• Defense &amp; Indigenous Industry</t>
        </is>
      </c>
    </row>
    <row r="24" ht="62" customHeight="1">
      <c r="A24" s="26" t="inlineStr">
        <is>
          <t>Day 22</t>
        </is>
      </c>
      <c r="B24" s="27" t="inlineStr">
        <is>
          <t>2026-10-27</t>
        </is>
      </c>
      <c r="C24" s="29" t="inlineStr">
        <is>
          <t>[GS1] Ashokan Edicts: Moral Governance, Dhamma, and Ancient Inscriptions
• Ancient Epigraphy</t>
        </is>
      </c>
      <c r="D24" s="29" t="inlineStr">
        <is>
          <t>[GS2] Right to Education (RTE) Act: Section 12(1)(c) and EWS Mandates
• Social Justice &amp; Education</t>
        </is>
      </c>
      <c r="E24" s="29" t="inlineStr">
        <is>
          <t>[GS3] Bharat 6G Vision: Terahertz Waves and Indigenous Telecom Patents
• Telecom &amp; Digital Tech</t>
        </is>
      </c>
      <c r="F24" s="29" t="inlineStr">
        <is>
          <t>[GS3] Ramsar Wetlands of India: Expansion to 85+ Sites of International Importance
• Wetlands &amp; Ecology</t>
        </is>
      </c>
      <c r="G24" s="29" t="inlineStr">
        <is>
          <t>[GS2] Shanghai Cooperation Organisation (SCO): Strategic Autonomy in Eurasia
• International Relations</t>
        </is>
      </c>
    </row>
    <row r="25" ht="62" customHeight="1">
      <c r="A25" s="26" t="inlineStr">
        <is>
          <t>Day 23</t>
        </is>
      </c>
      <c r="B25" s="27" t="inlineStr">
        <is>
          <t>2026-10-28</t>
        </is>
      </c>
      <c r="C25" s="28" t="inlineStr">
        <is>
          <t>[GS1] Chola Bronzes: Nataraja Cosmic Dance and Cire-Perdue Casting
• Medieval Sculpture</t>
        </is>
      </c>
      <c r="D25" s="28" t="inlineStr">
        <is>
          <t>[GS2] Central Vigilance Commission (CVC): Anti-Corruption Architecture
• Anti-Corruption &amp; Governance</t>
        </is>
      </c>
      <c r="E25" s="28" t="inlineStr">
        <is>
          <t>[GS3] National Logistics Policy (NLP) &amp; Unified Logistics Interface Platform
• Logistics &amp; Trade</t>
        </is>
      </c>
      <c r="F25" s="28" t="inlineStr">
        <is>
          <t>[GS3] Glacial Lake Outburst Floods (GLOF) Early Warning Systems in the Himalayas
• Disaster Management</t>
        </is>
      </c>
      <c r="G25" s="28" t="inlineStr">
        <is>
          <t>[GS4] Conflict of Interest in Regulatory Watchdogs: SEBI and RBI Guidelines
• Corporate &amp; Financial Ethics</t>
        </is>
      </c>
    </row>
    <row r="26" ht="62" customHeight="1">
      <c r="A26" s="26" t="inlineStr">
        <is>
          <t>Day 24</t>
        </is>
      </c>
      <c r="B26" s="27" t="inlineStr">
        <is>
          <t>2026-10-29</t>
        </is>
      </c>
      <c r="C26" s="29" t="inlineStr">
        <is>
          <t>[GS1] Geographical Indications (GI) Registry: Protecting Indigenous Artisanship
• Traditional Craft</t>
        </is>
      </c>
      <c r="D26" s="29" t="inlineStr">
        <is>
          <t>[GS2] National Human Rights Commission (NHRC) and Paris Principles Compliance
• Human Rights &amp; Institutions</t>
        </is>
      </c>
      <c r="E26" s="29" t="inlineStr">
        <is>
          <t>[GS3] IndiaAI Mission: Sovereign GPU Infrastructure and Foundational Models
• Artificial Intelligence</t>
        </is>
      </c>
      <c r="F26" s="29" t="inlineStr">
        <is>
          <t>[GS3] Project Tiger at 50: Management Effectiveness Evaluation (MEE) of Reserves
• Wildlife Conservation</t>
        </is>
      </c>
      <c r="G26" s="29" t="inlineStr">
        <is>
          <t>[GS2] The Quad: Indo-Pacific Maritime Domain Awareness (IPMDA) Initiative
• Geopolitics &amp; Indo-Pacific</t>
        </is>
      </c>
    </row>
    <row r="27" ht="62" customHeight="1">
      <c r="A27" s="26" t="inlineStr">
        <is>
          <t>Day 25</t>
        </is>
      </c>
      <c r="B27" s="27" t="inlineStr">
        <is>
          <t>2026-10-30</t>
        </is>
      </c>
      <c r="C27" s="28" t="inlineStr">
        <is>
          <t>[GS1] Jyotirao &amp; Savitribai Phule: Pioneer of Anti-Caste and Girls' Education
• Social Reform</t>
        </is>
      </c>
      <c r="D27" s="28" t="inlineStr">
        <is>
          <t>[GS2] Anti-Defection Law: Tenth Schedule Interpretation and Speaker Neutrality
• Electoral &amp; Parliamentary Law</t>
        </is>
      </c>
      <c r="E27" s="28" t="inlineStr">
        <is>
          <t>[GS3] National Critical Minerals Mission: Lithium, Cobalt, and Rare Earth Security
• Mining &amp; Strategic Minerals</t>
        </is>
      </c>
      <c r="F27" s="28" t="inlineStr">
        <is>
          <t>[GS3] Plastic Waste Management Rules: Extended Producer Responsibility (EPR)
• Waste Management &amp; Environment</t>
        </is>
      </c>
      <c r="G27" s="28" t="inlineStr">
        <is>
          <t>[GS4] Public Duty vs Official Secrecy: Ethical Dilemmas Under the OSA 1923
• Administrative Ethics</t>
        </is>
      </c>
    </row>
    <row r="28" ht="62" customHeight="1">
      <c r="A28" s="26" t="inlineStr">
        <is>
          <t>Day 26</t>
        </is>
      </c>
      <c r="B28" s="27" t="inlineStr">
        <is>
          <t>2026-10-31</t>
        </is>
      </c>
      <c r="C28" s="29" t="inlineStr">
        <is>
          <t>[GS1] National Unity Day: Sardar Patel and the Integration of 565 Princely States
• Post-Independence Consolidation</t>
        </is>
      </c>
      <c r="D28" s="29" t="inlineStr">
        <is>
          <t>[GS2] Mission Karmayogi: Competency-Driven Civil Services Capacity Building
• Civil Services Reforms</t>
        </is>
      </c>
      <c r="E28" s="29" t="inlineStr">
        <is>
          <t>[GS3] Sovereign Green Bonds: Mobilizing Domestic Capital for Decarbonization
• Green Finance</t>
        </is>
      </c>
      <c r="F28" s="29" t="inlineStr">
        <is>
          <t>[GS3] Project Dolphin: Conserving Gangetic and Indus River Dolphins
• Riverine Ecology</t>
        </is>
      </c>
      <c r="G28" s="29" t="inlineStr">
        <is>
          <t>[GS3] Cybersecurity Threat Vectors: CERT-In Directives and Critical Infrastructure
• Cybersecurity &amp; National Defense</t>
        </is>
      </c>
    </row>
    <row r="29" ht="62" customHeight="1">
      <c r="A29" s="26" t="inlineStr">
        <is>
          <t>Day 27</t>
        </is>
      </c>
      <c r="B29" s="27" t="inlineStr">
        <is>
          <t>2026-11-01</t>
        </is>
      </c>
      <c r="C29" s="28" t="inlineStr">
        <is>
          <t>[GS1] Linguistic Reorganisation of States: Fazal Ali Commission of 1953
• Post-Independence History</t>
        </is>
      </c>
      <c r="D29" s="28" t="inlineStr">
        <is>
          <t>[GS2] Social Audit Under MGNREGA: Institutionalizing Citizen Oversight
• Grassroots Democracy</t>
        </is>
      </c>
      <c r="E29" s="28" t="inlineStr">
        <is>
          <t>[GS3] Pradhan Mantri Matsya Sampada Yojana: Modernizing India's Marine Fisheries
• Blue Economy &amp; Fisheries</t>
        </is>
      </c>
      <c r="F29" s="28" t="inlineStr">
        <is>
          <t>[GS3] Mission LiFE (Lifestyle for Environment): Sustainable Living Framework
• Climate Action &amp; Citizen Movement</t>
        </is>
      </c>
      <c r="G29" s="28" t="inlineStr">
        <is>
          <t>[GS2] India-Africa Forum Summit: Historic Induction of African Union into G20
• Foreign Policy</t>
        </is>
      </c>
    </row>
    <row r="30" ht="62" customHeight="1">
      <c r="A30" s="26" t="inlineStr">
        <is>
          <t>Day 28</t>
        </is>
      </c>
      <c r="B30" s="27" t="inlineStr">
        <is>
          <t>2026-11-02</t>
        </is>
      </c>
      <c r="C30" s="29" t="inlineStr">
        <is>
          <t>[GS1] Raja Ram Mohan Roy and the Bengal Renaissance: Abolition of Sati 1829
• Modern Social Reform</t>
        </is>
      </c>
      <c r="D30" s="29" t="inlineStr">
        <is>
          <t>[GS2] RTI Act and Section 8 Exemptions: Judicial Discourse on Public Interest
• Transparency &amp; Governance</t>
        </is>
      </c>
      <c r="E30" s="29" t="inlineStr">
        <is>
          <t>[GS3] Dedicated Freight Corridors (DFCs): Slashing Heavy Rail Transit Times
• Railways &amp; Logistics</t>
        </is>
      </c>
      <c r="F30" s="29" t="inlineStr">
        <is>
          <t>[GS3] International Solar Alliance (ISA): One Sun, One World, One Grid
• Solar Diplomacy</t>
        </is>
      </c>
      <c r="G30" s="29" t="inlineStr">
        <is>
          <t>[GS4] Moral Courage and Integrity: Resisting Unethical Executive Orders
• Moral Courage</t>
        </is>
      </c>
    </row>
    <row r="31" ht="62" customHeight="1">
      <c r="A31" s="26" t="inlineStr">
        <is>
          <t>Day 29</t>
        </is>
      </c>
      <c r="B31" s="27" t="inlineStr">
        <is>
          <t>2026-11-03</t>
        </is>
      </c>
      <c r="C31" s="28" t="inlineStr">
        <is>
          <t>[GS1] Netaji Subhas Chandra Bose and the Azad Hind Fauj: Military Diplomacy
• Freedom Movement</t>
        </is>
      </c>
      <c r="D31" s="28" t="inlineStr">
        <is>
          <t>[GS2] National Medical Commission (NMC): Reforming Healthcare Education Standards
• Health &amp; Social Justice</t>
        </is>
      </c>
      <c r="E31" s="28" t="inlineStr">
        <is>
          <t>[GS3] PM Fasal Bima Yojana: Drone and Satellite Crop Loss Verification
• Agrarian Insurance</t>
        </is>
      </c>
      <c r="F31" s="28" t="inlineStr">
        <is>
          <t>[GS3] Indian Antarctic and Arctic Programme: Maitri, Bharati, and Himadri
• Polar Science &amp; Climate</t>
        </is>
      </c>
      <c r="G31" s="28" t="inlineStr">
        <is>
          <t>[GS2] India-US Critical &amp; Emerging Technology (iCET) Partnership
• Defense Diplomacy</t>
        </is>
      </c>
    </row>
    <row r="32" ht="62" customHeight="1">
      <c r="A32" s="26" t="inlineStr">
        <is>
          <t>Day 30</t>
        </is>
      </c>
      <c r="B32" s="27" t="inlineStr">
        <is>
          <t>2026-11-04</t>
        </is>
      </c>
      <c r="C32" s="29" t="inlineStr">
        <is>
          <t>[GS1] Constituent Assembly Debates: Dr. B.R. Ambedkar and the Living Constitution
• Constitutional History</t>
        </is>
      </c>
      <c r="D32" s="29" t="inlineStr">
        <is>
          <t>[GS2] Good Governance Index (GGI): Benchmarking State and District Performance
• Governance Metrics</t>
        </is>
      </c>
      <c r="E32" s="29" t="inlineStr">
        <is>
          <t>[GS3] Harnessing India's Demographic Dividend: Skill India and Future of Work
• Demography &amp; Skill Development</t>
        </is>
      </c>
      <c r="F32" s="29" t="inlineStr">
        <is>
          <t>[GS3] India's Long-Term Low-Emission Strategy: Net Zero Target by 2070
• Climate Commitments</t>
        </is>
      </c>
      <c r="G32" s="29" t="inlineStr">
        <is>
          <t>[GS4] Ethical Leadership in Disaster Management: 2004 Tsunami to Modern Preparedness
• Crisis Leadership Ethics</t>
        </is>
      </c>
    </row>
  </sheetData>
  <mergeCells count="1">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showGridLines="1" workbookViewId="0">
      <selection activeCell="A1" sqref="A1"/>
    </sheetView>
  </sheetViews>
  <sheetFormatPr baseColWidth="8" defaultRowHeight="15" outlineLevelCol="0"/>
  <cols>
    <col width="30" customWidth="1" min="1" max="1"/>
    <col width="18" customWidth="1" min="2" max="2"/>
    <col width="14" customWidth="1" min="3" max="3"/>
    <col width="6" customWidth="1" min="4" max="4"/>
    <col width="44" customWidth="1" min="5" max="5"/>
    <col width="14" customWidth="1" min="6" max="6"/>
    <col width="14" customWidth="1" min="7" max="7"/>
  </cols>
  <sheetData>
    <row r="1" ht="36" customHeight="1">
      <c r="A1" s="24" t="inlineStr">
        <is>
          <t>30-DAY CAMPAIGN METRICS, GS SYLLABUS DISTRIBUTION &amp; AUTOMATION GUIDE</t>
        </is>
      </c>
    </row>
    <row r="3" ht="24" customHeight="1">
      <c r="A3" s="30" t="inlineStr">
        <is>
          <t>CAMPAIGN KEY PERFORMANCE PARAMETERS</t>
        </is>
      </c>
      <c r="E3" s="30" t="inlineStr">
        <is>
          <t>UPSC SYLLABUS DISTRIBUTION (GS1 TO GS4)</t>
        </is>
      </c>
    </row>
    <row r="4" ht="22" customHeight="1">
      <c r="A4" s="31" t="inlineStr">
        <is>
          <t>Total Scheduled Infographics</t>
        </is>
      </c>
      <c r="B4" s="32">
        <f>COUNTA('30-Day Content Calendar'!$A$4:$A$153)</f>
        <v/>
      </c>
      <c r="C4" s="33" t="inlineStr">
        <is>
          <t>Posts</t>
        </is>
      </c>
      <c r="E4" s="34" t="inlineStr">
        <is>
          <t>GS1: History, Heritage, Society &amp; Geography</t>
        </is>
      </c>
      <c r="F4" s="32">
        <f>COUNTIF('30-Day Content Calendar'!$F$4:$F$153, "GS1")</f>
        <v/>
      </c>
      <c r="G4" s="35">
        <f>F4/$F$8</f>
        <v/>
      </c>
    </row>
    <row r="5" ht="22" customHeight="1">
      <c r="A5" s="31" t="inlineStr">
        <is>
          <t>Campaign Horizon (Days)</t>
        </is>
      </c>
      <c r="B5" s="32" t="n">
        <v>30</v>
      </c>
      <c r="C5" s="33" t="inlineStr">
        <is>
          <t>Days</t>
        </is>
      </c>
      <c r="E5" s="34" t="inlineStr">
        <is>
          <t>GS2: Polity, Governance, Constitution &amp; IR</t>
        </is>
      </c>
      <c r="F5" s="32">
        <f>COUNTIF('30-Day Content Calendar'!$F$4:$F$153, "GS2")</f>
        <v/>
      </c>
      <c r="G5" s="35">
        <f>F5/$F$8</f>
        <v/>
      </c>
    </row>
    <row r="6" ht="22" customHeight="1">
      <c r="A6" s="31" t="inlineStr">
        <is>
          <t>Posting Velocity (Posts/Day)</t>
        </is>
      </c>
      <c r="B6" s="32">
        <f>B4/B5</f>
        <v/>
      </c>
      <c r="C6" s="33" t="inlineStr">
        <is>
          <t>Posts/Day</t>
        </is>
      </c>
      <c r="E6" s="34" t="inlineStr">
        <is>
          <t>GS3: Economy, Sci-Tech, Environment &amp; Security</t>
        </is>
      </c>
      <c r="F6" s="32">
        <f>COUNTIF('30-Day Content Calendar'!$F$4:$F$153, "GS3")</f>
        <v/>
      </c>
      <c r="G6" s="35">
        <f>F6/$F$8</f>
        <v/>
      </c>
    </row>
    <row r="7" ht="22" customHeight="1">
      <c r="A7" s="31" t="inlineStr">
        <is>
          <t>Status: Planned</t>
        </is>
      </c>
      <c r="B7" s="32">
        <f>COUNTIF('30-Day Content Calendar'!$L$4:$L$153, "Planned")</f>
        <v/>
      </c>
      <c r="C7" s="33" t="inlineStr">
        <is>
          <t>Posts</t>
        </is>
      </c>
      <c r="E7" s="34" t="inlineStr">
        <is>
          <t>GS4: Ethics, Integrity, Aptitude &amp; Case Studies</t>
        </is>
      </c>
      <c r="F7" s="32">
        <f>COUNTIF('30-Day Content Calendar'!$F$4:$F$153, "GS4")</f>
        <v/>
      </c>
      <c r="G7" s="35">
        <f>F7/$F$8</f>
        <v/>
      </c>
    </row>
    <row r="8" ht="22" customHeight="1">
      <c r="A8" s="31" t="inlineStr">
        <is>
          <t>Status: In Progress</t>
        </is>
      </c>
      <c r="B8" s="32">
        <f>COUNTIF('30-Day Content Calendar'!$L$4:$L$153, "In Progress")</f>
        <v/>
      </c>
      <c r="C8" s="33" t="inlineStr">
        <is>
          <t>Posts</t>
        </is>
      </c>
      <c r="E8" s="31" t="inlineStr">
        <is>
          <t>Total Verified Syllabus Coverage</t>
        </is>
      </c>
      <c r="F8" s="32">
        <f>SUM(F4:F7)</f>
        <v/>
      </c>
      <c r="G8" s="36">
        <f>SUM(G4:G7)</f>
        <v/>
      </c>
    </row>
    <row r="9" ht="22" customHeight="1">
      <c r="A9" s="31" t="inlineStr">
        <is>
          <t>Status: Ready to Post</t>
        </is>
      </c>
      <c r="B9" s="32">
        <f>COUNTIF('30-Day Content Calendar'!$L$4:$L$153, "Ready")</f>
        <v/>
      </c>
      <c r="C9" s="33" t="inlineStr">
        <is>
          <t>Posts</t>
        </is>
      </c>
    </row>
    <row r="10" ht="22" customHeight="1">
      <c r="A10" s="31" t="inlineStr">
        <is>
          <t>Status: Published</t>
        </is>
      </c>
      <c r="B10" s="32">
        <f>COUNTIF('30-Day Content Calendar'!$L$4:$L$153, "Published")</f>
        <v/>
      </c>
      <c r="C10" s="33" t="inlineStr">
        <is>
          <t>Posts</t>
        </is>
      </c>
    </row>
    <row r="13" ht="24" customHeight="1">
      <c r="A13" s="37" t="inlineStr">
        <is>
          <t>DEVELOPER / OPERATOR AUTOMATION &amp; EXECUTION GUIDE</t>
        </is>
      </c>
    </row>
    <row r="14" ht="22" customHeight="1">
      <c r="A14" s="38" t="inlineStr">
        <is>
          <t>Operational Step</t>
        </is>
      </c>
      <c r="B14" s="38" t="inlineStr">
        <is>
          <t>Execution Command / Action</t>
        </is>
      </c>
      <c r="C14" s="39" t="n"/>
      <c r="D14" s="38" t="inlineStr">
        <is>
          <t>Description / Expected Result</t>
        </is>
      </c>
      <c r="E14" s="39" t="n"/>
      <c r="F14" s="39" t="n"/>
      <c r="G14" s="39" t="n"/>
    </row>
    <row r="15" ht="22" customHeight="1">
      <c r="A15" s="40" t="inlineStr">
        <is>
          <t>Step 1: Preview Layouts &amp; Captions (Offline)</t>
        </is>
      </c>
      <c r="B15" s="41" t="inlineStr">
        <is>
          <t>node src/cli.js --source fixture --file fixtures/topics_30days.json --limit 5 --no-ai</t>
        </is>
      </c>
      <c r="D15" s="42" t="inlineStr">
        <is>
          <t>Instant 5-second verification of Day 1 (Posts 1-5)</t>
        </is>
      </c>
    </row>
    <row r="16" ht="22" customHeight="1">
      <c r="A16" s="40" t="inlineStr">
        <is>
          <t>Step 2: Generate Full Day 1 Batch (AI Visuals)</t>
        </is>
      </c>
      <c r="B16" s="41" t="inlineStr">
        <is>
          <t>node src/cli.js --source fixture --file fixtures/topics_30days.json --limit 5</t>
        </is>
      </c>
      <c r="D16" s="42" t="inlineStr">
        <is>
          <t>Builds the complete Day 1 (Posts 1-5) 1080x1350 cards with actual AI artwork</t>
        </is>
      </c>
    </row>
    <row r="17" ht="22" customHeight="1">
      <c r="A17" s="40" t="inlineStr">
        <is>
          <t>Step 3: Generate 30-Day Master Campaign</t>
        </is>
      </c>
      <c r="B17" s="41" t="inlineStr">
        <is>
          <t>node src/cli.js --source fixture --file fixtures/topics_30days.json --limit 150</t>
        </is>
      </c>
      <c r="D17" s="42" t="inlineStr">
        <is>
          <t>Generates all 150 high-yield infographic cards</t>
        </is>
      </c>
    </row>
    <row r="18" ht="22" customHeight="1">
      <c r="A18" s="40" t="inlineStr">
        <is>
          <t>Step 4: Interactive Review &amp; Approvals</t>
        </is>
      </c>
      <c r="B18" s="41" t="inlineStr">
        <is>
          <t>npm run cli</t>
        </is>
      </c>
      <c r="D18" s="42" t="inlineStr">
        <is>
          <t>Option 5: Inspect generated output manifests, reviews, and captions</t>
        </is>
      </c>
    </row>
    <row r="19" ht="22" customHeight="1">
      <c r="A19" s="40" t="inlineStr">
        <is>
          <t>Step 5: Instagram Direct Publish</t>
        </is>
      </c>
      <c r="B19" s="41" t="inlineStr">
        <is>
          <t>Uses drafts from output/&lt;timestamp&gt;/ for feed scheduling</t>
        </is>
      </c>
      <c r="D19" s="42" t="inlineStr">
        <is>
          <t>Ready-to-upload high-resolution 1080x1350 PNGs</t>
        </is>
      </c>
    </row>
  </sheetData>
  <mergeCells count="14">
    <mergeCell ref="A13:G13"/>
    <mergeCell ref="D18:G18"/>
    <mergeCell ref="B16:C16"/>
    <mergeCell ref="A1:G1"/>
    <mergeCell ref="B15:C15"/>
    <mergeCell ref="D17:G17"/>
    <mergeCell ref="B19:C19"/>
    <mergeCell ref="D16:G16"/>
    <mergeCell ref="A3:C3"/>
    <mergeCell ref="D15:G15"/>
    <mergeCell ref="E3:G3"/>
    <mergeCell ref="B17:C17"/>
    <mergeCell ref="B18:C18"/>
    <mergeCell ref="D19:G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2026-10-06T17:09:41Z</dcterms:created>
  <dcterms:modified xmlns:dcterms="http://purl.org/dc/terms/" xmlns:xsi="http://www.w3.org/2001/XMLSchema-instance" xsi:type="dcterms:W3CDTF">2026-10-06T17:09:41Z</dcterms:modified>
</cp:coreProperties>
</file>